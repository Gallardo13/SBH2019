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Dropbox\Projects\Sber2019\SBH2019\"/>
    </mc:Choice>
  </mc:AlternateContent>
  <xr:revisionPtr revIDLastSave="0" documentId="13_ncr:1_{9F79E768-5CE9-4A45-9234-78E971B46456}" xr6:coauthVersionLast="45" xr6:coauthVersionMax="45" xr10:uidLastSave="{00000000-0000-0000-0000-000000000000}"/>
  <bookViews>
    <workbookView xWindow="-120" yWindow="-120" windowWidth="20730" windowHeight="11160" tabRatio="769" firstSheet="1" activeTab="10" xr2:uid="{DD2797A3-F702-41FD-B56F-263D54D5D734}"/>
  </bookViews>
  <sheets>
    <sheet name="Пользователи" sheetId="1" r:id="rId1"/>
    <sheet name="Ветки" sheetId="2" r:id="rId2"/>
    <sheet name="Пулл-реквесты" sheetId="3" r:id="rId3"/>
    <sheet name="Коммиты" sheetId="4" r:id="rId4"/>
    <sheet name="Спринты" sheetId="5" r:id="rId5"/>
    <sheet name="СпринтСтатус" sheetId="11" r:id="rId6"/>
    <sheet name="JiraTaskState" sheetId="8" r:id="rId7"/>
    <sheet name="Задачи1" sheetId="6" r:id="rId8"/>
    <sheet name="Задачи2" sheetId="12" r:id="rId9"/>
    <sheet name="Эпики" sheetId="9" r:id="rId10"/>
    <sheet name="Релизы" sheetId="13" r:id="rId11"/>
    <sheet name="РелизСостояние" sheetId="14" r:id="rId12"/>
    <sheet name="Сводные данные" sheetId="16" r:id="rId13"/>
  </sheets>
  <calcPr calcId="181029"/>
  <pivotCaches>
    <pivotCache cacheId="0" r:id="rId14"/>
    <pivotCache cacheId="1" r:id="rId15"/>
    <pivotCache cacheId="2" r:id="rId1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G2" i="9" l="1"/>
  <c r="G3" i="9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L3" i="12"/>
  <c r="L4" i="12"/>
  <c r="L5" i="12"/>
  <c r="L6" i="12"/>
  <c r="L7" i="12"/>
  <c r="L8" i="12"/>
  <c r="L9" i="12"/>
  <c r="L10" i="12"/>
  <c r="L11" i="12"/>
  <c r="L12" i="12"/>
  <c r="L13" i="12"/>
  <c r="L14" i="12"/>
  <c r="L15" i="12"/>
  <c r="L16" i="12"/>
  <c r="L17" i="12"/>
  <c r="L18" i="12"/>
  <c r="L19" i="12"/>
  <c r="L20" i="12"/>
  <c r="L21" i="12"/>
  <c r="L22" i="12"/>
  <c r="L23" i="12"/>
  <c r="L24" i="12"/>
  <c r="L25" i="12"/>
  <c r="L26" i="12"/>
  <c r="L27" i="12"/>
  <c r="L28" i="12"/>
  <c r="L29" i="12"/>
  <c r="L30" i="12"/>
  <c r="L31" i="12"/>
  <c r="L32" i="12"/>
  <c r="L33" i="12"/>
  <c r="L34" i="12"/>
  <c r="L35" i="12"/>
  <c r="L36" i="12"/>
  <c r="L37" i="12"/>
  <c r="L38" i="12"/>
  <c r="L39" i="12"/>
  <c r="L40" i="12"/>
  <c r="L41" i="12"/>
  <c r="L42" i="12"/>
  <c r="L43" i="12"/>
  <c r="L44" i="12"/>
  <c r="L45" i="12"/>
  <c r="L46" i="12"/>
  <c r="L47" i="12"/>
  <c r="L48" i="12"/>
  <c r="L49" i="12"/>
  <c r="L50" i="12"/>
  <c r="L51" i="12"/>
  <c r="L52" i="12"/>
  <c r="L53" i="12"/>
  <c r="L54" i="12"/>
  <c r="L55" i="12"/>
  <c r="L56" i="12"/>
  <c r="L57" i="12"/>
  <c r="L58" i="12"/>
  <c r="L59" i="12"/>
  <c r="L60" i="12"/>
  <c r="L61" i="12"/>
  <c r="L62" i="12"/>
  <c r="L63" i="12"/>
  <c r="L64" i="12"/>
  <c r="L65" i="12"/>
  <c r="L66" i="12"/>
  <c r="L67" i="12"/>
  <c r="L68" i="12"/>
  <c r="L69" i="12"/>
  <c r="L70" i="12"/>
  <c r="L71" i="12"/>
  <c r="L72" i="12"/>
  <c r="L73" i="12"/>
  <c r="L74" i="12"/>
  <c r="L75" i="12"/>
  <c r="L76" i="12"/>
  <c r="L77" i="12"/>
  <c r="L78" i="12"/>
  <c r="L79" i="12"/>
  <c r="L80" i="12"/>
  <c r="L81" i="12"/>
  <c r="L82" i="12"/>
  <c r="L83" i="12"/>
  <c r="L84" i="12"/>
  <c r="L85" i="12"/>
  <c r="L86" i="12"/>
  <c r="L87" i="12"/>
  <c r="L88" i="12"/>
  <c r="L89" i="12"/>
  <c r="L90" i="12"/>
  <c r="L91" i="12"/>
  <c r="L92" i="12"/>
  <c r="L93" i="12"/>
  <c r="L94" i="12"/>
  <c r="L95" i="12"/>
  <c r="L96" i="12"/>
  <c r="L97" i="12"/>
  <c r="L98" i="12"/>
  <c r="L99" i="12"/>
  <c r="L100" i="12"/>
  <c r="L2" i="12"/>
  <c r="L100" i="6"/>
  <c r="L99" i="6"/>
  <c r="L98" i="6"/>
  <c r="L97" i="6"/>
  <c r="L96" i="6"/>
  <c r="L95" i="6"/>
  <c r="L94" i="6"/>
  <c r="L93" i="6"/>
  <c r="L92" i="6"/>
  <c r="L91" i="6"/>
  <c r="L90" i="6"/>
  <c r="L89" i="6"/>
  <c r="L88" i="6"/>
  <c r="L87" i="6"/>
  <c r="L86" i="6"/>
  <c r="L85" i="6"/>
  <c r="L84" i="6"/>
  <c r="L83" i="6"/>
  <c r="L82" i="6"/>
  <c r="L81" i="6"/>
  <c r="L80" i="6"/>
  <c r="L79" i="6"/>
  <c r="L78" i="6"/>
  <c r="L77" i="6"/>
  <c r="L76" i="6"/>
  <c r="L75" i="6"/>
  <c r="L74" i="6"/>
  <c r="L73" i="6"/>
  <c r="L72" i="6"/>
  <c r="L71" i="6"/>
  <c r="L70" i="6"/>
  <c r="L69" i="6"/>
  <c r="L68" i="6"/>
  <c r="L67" i="6"/>
  <c r="L66" i="6"/>
  <c r="L65" i="6"/>
  <c r="L64" i="6"/>
  <c r="L63" i="6"/>
  <c r="L62" i="6"/>
  <c r="L61" i="6"/>
  <c r="L60" i="6"/>
  <c r="L59" i="6"/>
  <c r="L58" i="6"/>
  <c r="L57" i="6"/>
  <c r="L56" i="6"/>
  <c r="L55" i="6"/>
  <c r="L54" i="6"/>
  <c r="L53" i="6"/>
  <c r="L52" i="6"/>
  <c r="L51" i="6"/>
  <c r="L50" i="6"/>
  <c r="L49" i="6"/>
  <c r="L48" i="6"/>
  <c r="L47" i="6"/>
  <c r="L46" i="6"/>
  <c r="L45" i="6"/>
  <c r="L44" i="6"/>
  <c r="L43" i="6"/>
  <c r="L42" i="6"/>
  <c r="L41" i="6"/>
  <c r="L40" i="6"/>
  <c r="L39" i="6"/>
  <c r="L38" i="6"/>
  <c r="L37" i="6"/>
  <c r="L36" i="6"/>
  <c r="L35" i="6"/>
  <c r="L34" i="6"/>
  <c r="L33" i="6"/>
  <c r="L32" i="6"/>
  <c r="L31" i="6"/>
  <c r="L30" i="6"/>
  <c r="L29" i="6"/>
  <c r="L28" i="6"/>
  <c r="L27" i="6"/>
  <c r="L26" i="6"/>
  <c r="L25" i="6"/>
  <c r="L24" i="6"/>
  <c r="L23" i="6"/>
  <c r="L22" i="6"/>
  <c r="L21" i="6"/>
  <c r="L20" i="6"/>
  <c r="L19" i="6"/>
  <c r="L18" i="6"/>
  <c r="L17" i="6"/>
  <c r="L16" i="6"/>
  <c r="L15" i="6"/>
  <c r="L14" i="6"/>
  <c r="L13" i="6"/>
  <c r="L12" i="6"/>
  <c r="L11" i="6"/>
  <c r="L10" i="6"/>
  <c r="L9" i="6"/>
  <c r="L8" i="6"/>
  <c r="L7" i="6"/>
  <c r="L6" i="6"/>
  <c r="L5" i="6"/>
  <c r="L4" i="6"/>
  <c r="L3" i="6"/>
  <c r="L2" i="6"/>
  <c r="S100" i="12"/>
  <c r="S99" i="12"/>
  <c r="S98" i="12"/>
  <c r="S97" i="12"/>
  <c r="S96" i="12"/>
  <c r="S95" i="12"/>
  <c r="S94" i="12"/>
  <c r="S93" i="12"/>
  <c r="S92" i="12"/>
  <c r="S91" i="12"/>
  <c r="S90" i="12"/>
  <c r="S89" i="12"/>
  <c r="S88" i="12"/>
  <c r="S87" i="12"/>
  <c r="S86" i="12"/>
  <c r="S85" i="12"/>
  <c r="S84" i="12"/>
  <c r="S83" i="12"/>
  <c r="S82" i="12"/>
  <c r="S81" i="12"/>
  <c r="S80" i="12"/>
  <c r="S79" i="12"/>
  <c r="S78" i="12"/>
  <c r="S77" i="12"/>
  <c r="S76" i="12"/>
  <c r="S75" i="12"/>
  <c r="S74" i="12"/>
  <c r="S73" i="12"/>
  <c r="S72" i="12"/>
  <c r="S71" i="12"/>
  <c r="S70" i="12"/>
  <c r="S69" i="12"/>
  <c r="S68" i="12"/>
  <c r="S67" i="12"/>
  <c r="S66" i="12"/>
  <c r="S65" i="12"/>
  <c r="S64" i="12"/>
  <c r="S63" i="12"/>
  <c r="S62" i="12"/>
  <c r="S61" i="12"/>
  <c r="S60" i="12"/>
  <c r="S59" i="12"/>
  <c r="S58" i="12"/>
  <c r="S57" i="12"/>
  <c r="S56" i="12"/>
  <c r="S55" i="12"/>
  <c r="S54" i="12"/>
  <c r="S53" i="12"/>
  <c r="S52" i="12"/>
  <c r="S51" i="12"/>
  <c r="S50" i="12"/>
  <c r="S49" i="12"/>
  <c r="S48" i="12"/>
  <c r="S47" i="12"/>
  <c r="S46" i="12"/>
  <c r="S45" i="12"/>
  <c r="S44" i="12"/>
  <c r="S43" i="12"/>
  <c r="S42" i="12"/>
  <c r="S41" i="12"/>
  <c r="S40" i="12"/>
  <c r="S39" i="12"/>
  <c r="S38" i="12"/>
  <c r="S37" i="12"/>
  <c r="S36" i="12"/>
  <c r="S35" i="12"/>
  <c r="S34" i="12"/>
  <c r="S33" i="12"/>
  <c r="S32" i="12"/>
  <c r="S31" i="12"/>
  <c r="S30" i="12"/>
  <c r="S29" i="12"/>
  <c r="S28" i="12"/>
  <c r="S27" i="12"/>
  <c r="S26" i="12"/>
  <c r="S25" i="12"/>
  <c r="S24" i="12"/>
  <c r="S23" i="12"/>
  <c r="S22" i="12"/>
  <c r="S21" i="12"/>
  <c r="S20" i="12"/>
  <c r="S19" i="12"/>
  <c r="S18" i="12"/>
  <c r="S17" i="12"/>
  <c r="S16" i="12"/>
  <c r="S15" i="12"/>
  <c r="S14" i="12"/>
  <c r="S13" i="12"/>
  <c r="S12" i="12"/>
  <c r="S11" i="12"/>
  <c r="S10" i="12"/>
  <c r="S9" i="12"/>
  <c r="S8" i="12"/>
  <c r="S7" i="12"/>
  <c r="S6" i="12"/>
  <c r="S5" i="12"/>
  <c r="S4" i="12"/>
  <c r="S3" i="12"/>
  <c r="S2" i="12"/>
  <c r="Q100" i="6"/>
  <c r="Q99" i="6"/>
  <c r="Q98" i="6"/>
  <c r="Q97" i="6"/>
  <c r="Q96" i="6"/>
  <c r="Q95" i="6"/>
  <c r="Q94" i="6"/>
  <c r="Q93" i="6"/>
  <c r="Q92" i="6"/>
  <c r="Q91" i="6"/>
  <c r="Q90" i="6"/>
  <c r="Q89" i="6"/>
  <c r="Q88" i="6"/>
  <c r="Q87" i="6"/>
  <c r="Q86" i="6"/>
  <c r="Q85" i="6"/>
  <c r="Q84" i="6"/>
  <c r="Q83" i="6"/>
  <c r="Q82" i="6"/>
  <c r="Q81" i="6"/>
  <c r="Q80" i="6"/>
  <c r="Q79" i="6"/>
  <c r="Q78" i="6"/>
  <c r="Q77" i="6"/>
  <c r="Q76" i="6"/>
  <c r="Q75" i="6"/>
  <c r="Q74" i="6"/>
  <c r="Q73" i="6"/>
  <c r="Q72" i="6"/>
  <c r="Q71" i="6"/>
  <c r="Q70" i="6"/>
  <c r="Q69" i="6"/>
  <c r="Q68" i="6"/>
  <c r="Q67" i="6"/>
  <c r="Q66" i="6"/>
  <c r="Q65" i="6"/>
  <c r="Q64" i="6"/>
  <c r="Q63" i="6"/>
  <c r="Q62" i="6"/>
  <c r="Q61" i="6"/>
  <c r="Q60" i="6"/>
  <c r="Q59" i="6"/>
  <c r="Q58" i="6"/>
  <c r="Q57" i="6"/>
  <c r="Q56" i="6"/>
  <c r="Q55" i="6"/>
  <c r="Q54" i="6"/>
  <c r="Q53" i="6"/>
  <c r="Q52" i="6"/>
  <c r="Q51" i="6"/>
  <c r="Q50" i="6"/>
  <c r="Q49" i="6"/>
  <c r="Q48" i="6"/>
  <c r="Q47" i="6"/>
  <c r="Q46" i="6"/>
  <c r="Q45" i="6"/>
  <c r="Q44" i="6"/>
  <c r="Q43" i="6"/>
  <c r="Q42" i="6"/>
  <c r="Q41" i="6"/>
  <c r="Q40" i="6"/>
  <c r="Q39" i="6"/>
  <c r="Q38" i="6"/>
  <c r="Q37" i="6"/>
  <c r="Q36" i="6"/>
  <c r="Q35" i="6"/>
  <c r="Q34" i="6"/>
  <c r="Q33" i="6"/>
  <c r="Q32" i="6"/>
  <c r="Q31" i="6"/>
  <c r="Q30" i="6"/>
  <c r="Q29" i="6"/>
  <c r="Q28" i="6"/>
  <c r="Q27" i="6"/>
  <c r="Q26" i="6"/>
  <c r="Q25" i="6"/>
  <c r="Q24" i="6"/>
  <c r="Q23" i="6"/>
  <c r="Q22" i="6"/>
  <c r="Q21" i="6"/>
  <c r="Q20" i="6"/>
  <c r="Q19" i="6"/>
  <c r="Q18" i="6"/>
  <c r="Q17" i="6"/>
  <c r="Q16" i="6"/>
  <c r="Q15" i="6"/>
  <c r="Q14" i="6"/>
  <c r="Q13" i="6"/>
  <c r="Q12" i="6"/>
  <c r="Q11" i="6"/>
  <c r="Q10" i="6"/>
  <c r="Q9" i="6"/>
  <c r="Q8" i="6"/>
  <c r="Q7" i="6"/>
  <c r="Q6" i="6"/>
  <c r="Q5" i="6"/>
  <c r="Q4" i="6"/>
  <c r="Q3" i="6"/>
  <c r="Q2" i="6"/>
  <c r="Q100" i="12"/>
  <c r="Q99" i="12"/>
  <c r="Q98" i="12"/>
  <c r="Q97" i="12"/>
  <c r="Q96" i="12"/>
  <c r="Q95" i="12"/>
  <c r="Q94" i="12"/>
  <c r="Q93" i="12"/>
  <c r="Q92" i="12"/>
  <c r="Q91" i="12"/>
  <c r="Q90" i="12"/>
  <c r="Q89" i="12"/>
  <c r="Q88" i="12"/>
  <c r="Q87" i="12"/>
  <c r="Q86" i="12"/>
  <c r="Q85" i="12"/>
  <c r="Q84" i="12"/>
  <c r="Q83" i="12"/>
  <c r="Q82" i="12"/>
  <c r="Q81" i="12"/>
  <c r="Q80" i="12"/>
  <c r="Q79" i="12"/>
  <c r="Q78" i="12"/>
  <c r="Q77" i="12"/>
  <c r="Q76" i="12"/>
  <c r="Q75" i="12"/>
  <c r="Q74" i="12"/>
  <c r="Q73" i="12"/>
  <c r="Q72" i="12"/>
  <c r="Q71" i="12"/>
  <c r="Q70" i="12"/>
  <c r="Q69" i="12"/>
  <c r="Q68" i="12"/>
  <c r="Q67" i="12"/>
  <c r="Q66" i="12"/>
  <c r="Q65" i="12"/>
  <c r="Q64" i="12"/>
  <c r="Q63" i="12"/>
  <c r="Q62" i="12"/>
  <c r="Q61" i="12"/>
  <c r="Q60" i="12"/>
  <c r="Q59" i="12"/>
  <c r="Q58" i="12"/>
  <c r="Q57" i="12"/>
  <c r="Q56" i="12"/>
  <c r="Q55" i="12"/>
  <c r="Q54" i="12"/>
  <c r="Q53" i="12"/>
  <c r="Q52" i="12"/>
  <c r="Q51" i="12"/>
  <c r="Q50" i="12"/>
  <c r="Q49" i="12"/>
  <c r="Q48" i="12"/>
  <c r="Q47" i="12"/>
  <c r="Q46" i="12"/>
  <c r="Q45" i="12"/>
  <c r="Q44" i="12"/>
  <c r="Q43" i="12"/>
  <c r="Q42" i="12"/>
  <c r="Q41" i="12"/>
  <c r="Q40" i="12"/>
  <c r="Q39" i="12"/>
  <c r="Q38" i="12"/>
  <c r="Q37" i="12"/>
  <c r="Q36" i="12"/>
  <c r="Q35" i="12"/>
  <c r="Q34" i="12"/>
  <c r="Q33" i="12"/>
  <c r="Q32" i="12"/>
  <c r="Q31" i="12"/>
  <c r="Q30" i="12"/>
  <c r="Q29" i="12"/>
  <c r="Q28" i="12"/>
  <c r="Q27" i="12"/>
  <c r="Q26" i="12"/>
  <c r="Q25" i="12"/>
  <c r="Q24" i="12"/>
  <c r="Q23" i="12"/>
  <c r="Q22" i="12"/>
  <c r="Q21" i="12"/>
  <c r="Q20" i="12"/>
  <c r="Q19" i="12"/>
  <c r="Q18" i="12"/>
  <c r="Q17" i="12"/>
  <c r="Q16" i="12"/>
  <c r="Q15" i="12"/>
  <c r="Q14" i="12"/>
  <c r="Q13" i="12"/>
  <c r="Q12" i="12"/>
  <c r="Q11" i="12"/>
  <c r="Q10" i="12"/>
  <c r="Q9" i="12"/>
  <c r="Q8" i="12"/>
  <c r="Q7" i="12"/>
  <c r="Q6" i="12"/>
  <c r="Q5" i="12"/>
  <c r="Q4" i="12"/>
  <c r="Q3" i="12"/>
  <c r="Q2" i="12"/>
  <c r="K2" i="12"/>
  <c r="K3" i="12"/>
  <c r="K4" i="12"/>
  <c r="K5" i="12"/>
  <c r="K6" i="12"/>
  <c r="K7" i="12"/>
  <c r="K8" i="12"/>
  <c r="K9" i="12"/>
  <c r="K10" i="12"/>
  <c r="K11" i="12"/>
  <c r="K12" i="12"/>
  <c r="K13" i="12"/>
  <c r="K14" i="12"/>
  <c r="K15" i="12"/>
  <c r="K16" i="12"/>
  <c r="K17" i="12"/>
  <c r="K18" i="12"/>
  <c r="K19" i="12"/>
  <c r="K20" i="12"/>
  <c r="K21" i="12"/>
  <c r="K22" i="12"/>
  <c r="K23" i="12"/>
  <c r="K24" i="12"/>
  <c r="K25" i="12"/>
  <c r="K26" i="12"/>
  <c r="K27" i="12"/>
  <c r="K28" i="12"/>
  <c r="K29" i="12"/>
  <c r="K30" i="12"/>
  <c r="K31" i="12"/>
  <c r="K32" i="12"/>
  <c r="K33" i="12"/>
  <c r="K34" i="12"/>
  <c r="K35" i="12"/>
  <c r="K36" i="12"/>
  <c r="K37" i="12"/>
  <c r="K38" i="12"/>
  <c r="K39" i="12"/>
  <c r="K40" i="12"/>
  <c r="K41" i="12"/>
  <c r="K42" i="12"/>
  <c r="K43" i="12"/>
  <c r="K44" i="12"/>
  <c r="K45" i="12"/>
  <c r="K46" i="12"/>
  <c r="K47" i="12"/>
  <c r="K48" i="12"/>
  <c r="K49" i="12"/>
  <c r="K50" i="12"/>
  <c r="K51" i="12"/>
  <c r="K52" i="12"/>
  <c r="K53" i="12"/>
  <c r="K54" i="12"/>
  <c r="K55" i="12"/>
  <c r="K56" i="12"/>
  <c r="K57" i="12"/>
  <c r="K58" i="12"/>
  <c r="K59" i="12"/>
  <c r="K60" i="12"/>
  <c r="K61" i="12"/>
  <c r="K62" i="12"/>
  <c r="K63" i="12"/>
  <c r="K64" i="12"/>
  <c r="K65" i="12"/>
  <c r="K66" i="12"/>
  <c r="K67" i="12"/>
  <c r="K68" i="12"/>
  <c r="K69" i="12"/>
  <c r="K70" i="12"/>
  <c r="K71" i="12"/>
  <c r="K72" i="12"/>
  <c r="K73" i="12"/>
  <c r="K74" i="12"/>
  <c r="K75" i="12"/>
  <c r="K76" i="12"/>
  <c r="K77" i="12"/>
  <c r="K78" i="12"/>
  <c r="K79" i="12"/>
  <c r="K80" i="12"/>
  <c r="K81" i="12"/>
  <c r="K82" i="12"/>
  <c r="K83" i="12"/>
  <c r="K84" i="12"/>
  <c r="K85" i="12"/>
  <c r="K86" i="12"/>
  <c r="K87" i="12"/>
  <c r="K88" i="12"/>
  <c r="K89" i="12"/>
  <c r="K90" i="12"/>
  <c r="K91" i="12"/>
  <c r="K92" i="12"/>
  <c r="K93" i="12"/>
  <c r="K94" i="12"/>
  <c r="K95" i="12"/>
  <c r="K96" i="12"/>
  <c r="K97" i="12"/>
  <c r="K98" i="12"/>
  <c r="K99" i="12"/>
  <c r="K100" i="12"/>
  <c r="O2" i="12"/>
  <c r="O2" i="6"/>
  <c r="O3" i="6"/>
  <c r="O4" i="6"/>
  <c r="O5" i="6"/>
  <c r="O6" i="6"/>
  <c r="O7" i="6"/>
  <c r="O8" i="6"/>
  <c r="O9" i="6"/>
  <c r="O10" i="6"/>
  <c r="O11" i="6"/>
  <c r="O12" i="6"/>
  <c r="O13" i="6"/>
  <c r="O14" i="6"/>
  <c r="O15" i="6"/>
  <c r="O16" i="6"/>
  <c r="O17" i="6"/>
  <c r="O18" i="6"/>
  <c r="O19" i="6"/>
  <c r="O20" i="6"/>
  <c r="O21" i="6"/>
  <c r="O22" i="6"/>
  <c r="O23" i="6"/>
  <c r="O24" i="6"/>
  <c r="O25" i="6"/>
  <c r="O26" i="6"/>
  <c r="O27" i="6"/>
  <c r="O28" i="6"/>
  <c r="O29" i="6"/>
  <c r="O30" i="6"/>
  <c r="O31" i="6"/>
  <c r="O32" i="6"/>
  <c r="O33" i="6"/>
  <c r="O34" i="6"/>
  <c r="O35" i="6"/>
  <c r="O36" i="6"/>
  <c r="O37" i="6"/>
  <c r="O38" i="6"/>
  <c r="O39" i="6"/>
  <c r="O40" i="6"/>
  <c r="O41" i="6"/>
  <c r="O42" i="6"/>
  <c r="O43" i="6"/>
  <c r="O44" i="6"/>
  <c r="O45" i="6"/>
  <c r="O46" i="6"/>
  <c r="O47" i="6"/>
  <c r="O48" i="6"/>
  <c r="O49" i="6"/>
  <c r="O50" i="6"/>
  <c r="O51" i="6"/>
  <c r="O52" i="6"/>
  <c r="O53" i="6"/>
  <c r="O54" i="6"/>
  <c r="O55" i="6"/>
  <c r="O56" i="6"/>
  <c r="O57" i="6"/>
  <c r="O58" i="6"/>
  <c r="O59" i="6"/>
  <c r="O60" i="6"/>
  <c r="O61" i="6"/>
  <c r="O62" i="6"/>
  <c r="O63" i="6"/>
  <c r="O64" i="6"/>
  <c r="O65" i="6"/>
  <c r="O66" i="6"/>
  <c r="O67" i="6"/>
  <c r="O68" i="6"/>
  <c r="O69" i="6"/>
  <c r="O70" i="6"/>
  <c r="O71" i="6"/>
  <c r="O72" i="6"/>
  <c r="O73" i="6"/>
  <c r="O74" i="6"/>
  <c r="O75" i="6"/>
  <c r="O76" i="6"/>
  <c r="O77" i="6"/>
  <c r="O78" i="6"/>
  <c r="O79" i="6"/>
  <c r="O80" i="6"/>
  <c r="O81" i="6"/>
  <c r="O82" i="6"/>
  <c r="O83" i="6"/>
  <c r="O84" i="6"/>
  <c r="O85" i="6"/>
  <c r="O86" i="6"/>
  <c r="O87" i="6"/>
  <c r="O88" i="6"/>
  <c r="O89" i="6"/>
  <c r="O90" i="6"/>
  <c r="O91" i="6"/>
  <c r="O92" i="6"/>
  <c r="O93" i="6"/>
  <c r="O94" i="6"/>
  <c r="O95" i="6"/>
  <c r="O96" i="6"/>
  <c r="O97" i="6"/>
  <c r="O98" i="6"/>
  <c r="O99" i="6"/>
  <c r="O100" i="6"/>
  <c r="O100" i="12"/>
  <c r="O99" i="12"/>
  <c r="O98" i="12"/>
  <c r="O97" i="12"/>
  <c r="O96" i="12"/>
  <c r="O95" i="12"/>
  <c r="O94" i="12"/>
  <c r="O93" i="12"/>
  <c r="O92" i="12"/>
  <c r="O91" i="12"/>
  <c r="O90" i="12"/>
  <c r="O89" i="12"/>
  <c r="O88" i="12"/>
  <c r="O87" i="12"/>
  <c r="O86" i="12"/>
  <c r="O85" i="12"/>
  <c r="O84" i="12"/>
  <c r="O83" i="12"/>
  <c r="O82" i="12"/>
  <c r="O81" i="12"/>
  <c r="O80" i="12"/>
  <c r="O79" i="12"/>
  <c r="O78" i="12"/>
  <c r="O77" i="12"/>
  <c r="O76" i="12"/>
  <c r="O75" i="12"/>
  <c r="O74" i="12"/>
  <c r="O73" i="12"/>
  <c r="O72" i="12"/>
  <c r="O71" i="12"/>
  <c r="O70" i="12"/>
  <c r="O69" i="12"/>
  <c r="O68" i="12"/>
  <c r="O67" i="12"/>
  <c r="O66" i="12"/>
  <c r="O65" i="12"/>
  <c r="O64" i="12"/>
  <c r="O63" i="12"/>
  <c r="O62" i="12"/>
  <c r="O61" i="12"/>
  <c r="O60" i="12"/>
  <c r="O59" i="12"/>
  <c r="O58" i="12"/>
  <c r="O57" i="12"/>
  <c r="O56" i="12"/>
  <c r="O55" i="12"/>
  <c r="O54" i="12"/>
  <c r="O53" i="12"/>
  <c r="O52" i="12"/>
  <c r="O51" i="12"/>
  <c r="O50" i="12"/>
  <c r="O49" i="12"/>
  <c r="O48" i="12"/>
  <c r="O47" i="12"/>
  <c r="O46" i="12"/>
  <c r="O45" i="12"/>
  <c r="O44" i="12"/>
  <c r="O43" i="12"/>
  <c r="O42" i="12"/>
  <c r="O41" i="12"/>
  <c r="O40" i="12"/>
  <c r="O39" i="12"/>
  <c r="O38" i="12"/>
  <c r="O37" i="12"/>
  <c r="O36" i="12"/>
  <c r="O35" i="12"/>
  <c r="O34" i="12"/>
  <c r="O33" i="12"/>
  <c r="O32" i="12"/>
  <c r="O31" i="12"/>
  <c r="O30" i="12"/>
  <c r="O29" i="12"/>
  <c r="O28" i="12"/>
  <c r="O27" i="12"/>
  <c r="O26" i="12"/>
  <c r="O25" i="12"/>
  <c r="O24" i="12"/>
  <c r="O23" i="12"/>
  <c r="O22" i="12"/>
  <c r="O21" i="12"/>
  <c r="O20" i="12"/>
  <c r="O19" i="12"/>
  <c r="O18" i="12"/>
  <c r="O17" i="12"/>
  <c r="O16" i="12"/>
  <c r="O15" i="12"/>
  <c r="O14" i="12"/>
  <c r="O13" i="12"/>
  <c r="O12" i="12"/>
  <c r="O11" i="12"/>
  <c r="O10" i="12"/>
  <c r="O9" i="12"/>
  <c r="O8" i="12"/>
  <c r="O7" i="12"/>
  <c r="O6" i="12"/>
  <c r="O5" i="12"/>
  <c r="O4" i="12"/>
  <c r="O3" i="12"/>
  <c r="H100" i="12"/>
  <c r="J100" i="12" s="1"/>
  <c r="B100" i="12"/>
  <c r="H99" i="12"/>
  <c r="J99" i="12" s="1"/>
  <c r="B99" i="12"/>
  <c r="H98" i="12"/>
  <c r="J98" i="12" s="1"/>
  <c r="B98" i="12"/>
  <c r="H97" i="12"/>
  <c r="J97" i="12" s="1"/>
  <c r="B97" i="12"/>
  <c r="H96" i="12"/>
  <c r="J96" i="12" s="1"/>
  <c r="B96" i="12"/>
  <c r="H95" i="12"/>
  <c r="J95" i="12" s="1"/>
  <c r="B95" i="12"/>
  <c r="H94" i="12"/>
  <c r="J94" i="12" s="1"/>
  <c r="B94" i="12"/>
  <c r="H93" i="12"/>
  <c r="I93" i="12" s="1"/>
  <c r="B93" i="12"/>
  <c r="H92" i="12"/>
  <c r="J92" i="12" s="1"/>
  <c r="B92" i="12"/>
  <c r="H91" i="12"/>
  <c r="J91" i="12" s="1"/>
  <c r="B91" i="12"/>
  <c r="H90" i="12"/>
  <c r="J90" i="12" s="1"/>
  <c r="B90" i="12"/>
  <c r="H89" i="12"/>
  <c r="J89" i="12" s="1"/>
  <c r="B89" i="12"/>
  <c r="H88" i="12"/>
  <c r="J88" i="12" s="1"/>
  <c r="B88" i="12"/>
  <c r="H87" i="12"/>
  <c r="J87" i="12" s="1"/>
  <c r="B87" i="12"/>
  <c r="H86" i="12"/>
  <c r="J86" i="12" s="1"/>
  <c r="B86" i="12"/>
  <c r="H85" i="12"/>
  <c r="I85" i="12" s="1"/>
  <c r="B85" i="12"/>
  <c r="H84" i="12"/>
  <c r="J84" i="12" s="1"/>
  <c r="B84" i="12"/>
  <c r="H83" i="12"/>
  <c r="J83" i="12" s="1"/>
  <c r="B83" i="12"/>
  <c r="H82" i="12"/>
  <c r="J82" i="12" s="1"/>
  <c r="B82" i="12"/>
  <c r="H81" i="12"/>
  <c r="J81" i="12" s="1"/>
  <c r="B81" i="12"/>
  <c r="H80" i="12"/>
  <c r="J80" i="12" s="1"/>
  <c r="B80" i="12"/>
  <c r="H79" i="12"/>
  <c r="J79" i="12" s="1"/>
  <c r="B79" i="12"/>
  <c r="H78" i="12"/>
  <c r="J78" i="12" s="1"/>
  <c r="B78" i="12"/>
  <c r="H77" i="12"/>
  <c r="I77" i="12" s="1"/>
  <c r="B77" i="12"/>
  <c r="H76" i="12"/>
  <c r="J76" i="12" s="1"/>
  <c r="B76" i="12"/>
  <c r="H75" i="12"/>
  <c r="J75" i="12" s="1"/>
  <c r="B75" i="12"/>
  <c r="H74" i="12"/>
  <c r="J74" i="12" s="1"/>
  <c r="B74" i="12"/>
  <c r="H73" i="12"/>
  <c r="J73" i="12" s="1"/>
  <c r="B73" i="12"/>
  <c r="H72" i="12"/>
  <c r="J72" i="12" s="1"/>
  <c r="B72" i="12"/>
  <c r="H71" i="12"/>
  <c r="J71" i="12" s="1"/>
  <c r="B71" i="12"/>
  <c r="H70" i="12"/>
  <c r="J70" i="12" s="1"/>
  <c r="B70" i="12"/>
  <c r="H69" i="12"/>
  <c r="J69" i="12" s="1"/>
  <c r="B69" i="12"/>
  <c r="H68" i="12"/>
  <c r="J68" i="12" s="1"/>
  <c r="B68" i="12"/>
  <c r="H67" i="12"/>
  <c r="J67" i="12" s="1"/>
  <c r="B67" i="12"/>
  <c r="H66" i="12"/>
  <c r="J66" i="12" s="1"/>
  <c r="B66" i="12"/>
  <c r="H65" i="12"/>
  <c r="I65" i="12" s="1"/>
  <c r="B65" i="12"/>
  <c r="H64" i="12"/>
  <c r="J64" i="12" s="1"/>
  <c r="B64" i="12"/>
  <c r="H63" i="12"/>
  <c r="I63" i="12" s="1"/>
  <c r="B63" i="12"/>
  <c r="H62" i="12"/>
  <c r="I62" i="12" s="1"/>
  <c r="B62" i="12"/>
  <c r="H61" i="12"/>
  <c r="I61" i="12" s="1"/>
  <c r="B61" i="12"/>
  <c r="H60" i="12"/>
  <c r="I60" i="12" s="1"/>
  <c r="B60" i="12"/>
  <c r="H59" i="12"/>
  <c r="I59" i="12" s="1"/>
  <c r="B59" i="12"/>
  <c r="H58" i="12"/>
  <c r="I58" i="12" s="1"/>
  <c r="B58" i="12"/>
  <c r="H57" i="12"/>
  <c r="I57" i="12" s="1"/>
  <c r="B57" i="12"/>
  <c r="H56" i="12"/>
  <c r="I56" i="12" s="1"/>
  <c r="B56" i="12"/>
  <c r="H55" i="12"/>
  <c r="I55" i="12" s="1"/>
  <c r="B55" i="12"/>
  <c r="H54" i="12"/>
  <c r="I54" i="12" s="1"/>
  <c r="B54" i="12"/>
  <c r="H53" i="12"/>
  <c r="I53" i="12" s="1"/>
  <c r="B53" i="12"/>
  <c r="H52" i="12"/>
  <c r="I52" i="12" s="1"/>
  <c r="B52" i="12"/>
  <c r="H51" i="12"/>
  <c r="I51" i="12" s="1"/>
  <c r="B51" i="12"/>
  <c r="H50" i="12"/>
  <c r="I50" i="12" s="1"/>
  <c r="B50" i="12"/>
  <c r="H49" i="12"/>
  <c r="I49" i="12" s="1"/>
  <c r="B49" i="12"/>
  <c r="H48" i="12"/>
  <c r="I48" i="12" s="1"/>
  <c r="B48" i="12"/>
  <c r="H47" i="12"/>
  <c r="I47" i="12" s="1"/>
  <c r="B47" i="12"/>
  <c r="H46" i="12"/>
  <c r="I46" i="12" s="1"/>
  <c r="B46" i="12"/>
  <c r="H45" i="12"/>
  <c r="I45" i="12" s="1"/>
  <c r="B45" i="12"/>
  <c r="H44" i="12"/>
  <c r="I44" i="12" s="1"/>
  <c r="B44" i="12"/>
  <c r="H43" i="12"/>
  <c r="I43" i="12" s="1"/>
  <c r="B43" i="12"/>
  <c r="H42" i="12"/>
  <c r="I42" i="12" s="1"/>
  <c r="B42" i="12"/>
  <c r="H41" i="12"/>
  <c r="I41" i="12" s="1"/>
  <c r="B41" i="12"/>
  <c r="H40" i="12"/>
  <c r="I40" i="12" s="1"/>
  <c r="B40" i="12"/>
  <c r="H39" i="12"/>
  <c r="I39" i="12" s="1"/>
  <c r="B39" i="12"/>
  <c r="H38" i="12"/>
  <c r="I38" i="12" s="1"/>
  <c r="B38" i="12"/>
  <c r="H37" i="12"/>
  <c r="I37" i="12" s="1"/>
  <c r="B37" i="12"/>
  <c r="H36" i="12"/>
  <c r="I36" i="12" s="1"/>
  <c r="B36" i="12"/>
  <c r="H35" i="12"/>
  <c r="I35" i="12" s="1"/>
  <c r="B35" i="12"/>
  <c r="H34" i="12"/>
  <c r="I34" i="12" s="1"/>
  <c r="B34" i="12"/>
  <c r="H33" i="12"/>
  <c r="I33" i="12" s="1"/>
  <c r="B33" i="12"/>
  <c r="H32" i="12"/>
  <c r="I32" i="12" s="1"/>
  <c r="B32" i="12"/>
  <c r="H31" i="12"/>
  <c r="I31" i="12" s="1"/>
  <c r="B31" i="12"/>
  <c r="H30" i="12"/>
  <c r="I30" i="12" s="1"/>
  <c r="B30" i="12"/>
  <c r="H29" i="12"/>
  <c r="I29" i="12" s="1"/>
  <c r="B29" i="12"/>
  <c r="H28" i="12"/>
  <c r="I28" i="12" s="1"/>
  <c r="B28" i="12"/>
  <c r="H27" i="12"/>
  <c r="I27" i="12" s="1"/>
  <c r="B27" i="12"/>
  <c r="H26" i="12"/>
  <c r="I26" i="12" s="1"/>
  <c r="B26" i="12"/>
  <c r="H25" i="12"/>
  <c r="I25" i="12" s="1"/>
  <c r="B25" i="12"/>
  <c r="H24" i="12"/>
  <c r="I24" i="12" s="1"/>
  <c r="B24" i="12"/>
  <c r="H23" i="12"/>
  <c r="I23" i="12" s="1"/>
  <c r="B23" i="12"/>
  <c r="H22" i="12"/>
  <c r="I22" i="12" s="1"/>
  <c r="B22" i="12"/>
  <c r="H21" i="12"/>
  <c r="I21" i="12" s="1"/>
  <c r="B21" i="12"/>
  <c r="H20" i="12"/>
  <c r="I20" i="12" s="1"/>
  <c r="B20" i="12"/>
  <c r="H19" i="12"/>
  <c r="I19" i="12" s="1"/>
  <c r="B19" i="12"/>
  <c r="H18" i="12"/>
  <c r="I18" i="12" s="1"/>
  <c r="B18" i="12"/>
  <c r="H17" i="12"/>
  <c r="I17" i="12" s="1"/>
  <c r="B17" i="12"/>
  <c r="H16" i="12"/>
  <c r="I16" i="12" s="1"/>
  <c r="B16" i="12"/>
  <c r="H15" i="12"/>
  <c r="I15" i="12" s="1"/>
  <c r="B15" i="12"/>
  <c r="H14" i="12"/>
  <c r="I14" i="12" s="1"/>
  <c r="B14" i="12"/>
  <c r="H13" i="12"/>
  <c r="I13" i="12" s="1"/>
  <c r="B13" i="12"/>
  <c r="H12" i="12"/>
  <c r="I12" i="12" s="1"/>
  <c r="B12" i="12"/>
  <c r="H11" i="12"/>
  <c r="I11" i="12" s="1"/>
  <c r="B11" i="12"/>
  <c r="H10" i="12"/>
  <c r="I10" i="12" s="1"/>
  <c r="B10" i="12"/>
  <c r="H9" i="12"/>
  <c r="I9" i="12" s="1"/>
  <c r="B9" i="12"/>
  <c r="H8" i="12"/>
  <c r="I8" i="12" s="1"/>
  <c r="B8" i="12"/>
  <c r="H7" i="12"/>
  <c r="I7" i="12" s="1"/>
  <c r="B7" i="12"/>
  <c r="H6" i="12"/>
  <c r="I6" i="12" s="1"/>
  <c r="B6" i="12"/>
  <c r="H5" i="12"/>
  <c r="I5" i="12" s="1"/>
  <c r="B5" i="12"/>
  <c r="H4" i="12"/>
  <c r="I4" i="12" s="1"/>
  <c r="B4" i="12"/>
  <c r="H3" i="12"/>
  <c r="I3" i="12" s="1"/>
  <c r="B3" i="12"/>
  <c r="H2" i="12"/>
  <c r="I2" i="12" s="1"/>
  <c r="E2" i="12"/>
  <c r="E3" i="12" s="1"/>
  <c r="B2" i="12"/>
  <c r="K100" i="6"/>
  <c r="K99" i="6"/>
  <c r="K98" i="6"/>
  <c r="K97" i="6"/>
  <c r="K96" i="6"/>
  <c r="K95" i="6"/>
  <c r="K94" i="6"/>
  <c r="K93" i="6"/>
  <c r="K92" i="6"/>
  <c r="K91" i="6"/>
  <c r="K90" i="6"/>
  <c r="K89" i="6"/>
  <c r="K88" i="6"/>
  <c r="K87" i="6"/>
  <c r="K86" i="6"/>
  <c r="K85" i="6"/>
  <c r="K84" i="6"/>
  <c r="K83" i="6"/>
  <c r="K82" i="6"/>
  <c r="K81" i="6"/>
  <c r="K80" i="6"/>
  <c r="K79" i="6"/>
  <c r="K78" i="6"/>
  <c r="K77" i="6"/>
  <c r="K76" i="6"/>
  <c r="K75" i="6"/>
  <c r="K74" i="6"/>
  <c r="K73" i="6"/>
  <c r="K72" i="6"/>
  <c r="K71" i="6"/>
  <c r="K70" i="6"/>
  <c r="K69" i="6"/>
  <c r="K68" i="6"/>
  <c r="K67" i="6"/>
  <c r="K66" i="6"/>
  <c r="K65" i="6"/>
  <c r="K64" i="6"/>
  <c r="K63" i="6"/>
  <c r="K62" i="6"/>
  <c r="K61" i="6"/>
  <c r="K60" i="6"/>
  <c r="K59" i="6"/>
  <c r="K58" i="6"/>
  <c r="K57" i="6"/>
  <c r="K56" i="6"/>
  <c r="K55" i="6"/>
  <c r="K54" i="6"/>
  <c r="K53" i="6"/>
  <c r="K52" i="6"/>
  <c r="K51" i="6"/>
  <c r="K50" i="6"/>
  <c r="K49" i="6"/>
  <c r="K48" i="6"/>
  <c r="K47" i="6"/>
  <c r="K46" i="6"/>
  <c r="K45" i="6"/>
  <c r="K44" i="6"/>
  <c r="K43" i="6"/>
  <c r="K42" i="6"/>
  <c r="K41" i="6"/>
  <c r="K40" i="6"/>
  <c r="K39" i="6"/>
  <c r="K38" i="6"/>
  <c r="K37" i="6"/>
  <c r="K36" i="6"/>
  <c r="K35" i="6"/>
  <c r="K34" i="6"/>
  <c r="K33" i="6"/>
  <c r="K32" i="6"/>
  <c r="K31" i="6"/>
  <c r="K30" i="6"/>
  <c r="K29" i="6"/>
  <c r="K28" i="6"/>
  <c r="K27" i="6"/>
  <c r="K26" i="6"/>
  <c r="K25" i="6"/>
  <c r="K24" i="6"/>
  <c r="K23" i="6"/>
  <c r="K22" i="6"/>
  <c r="K21" i="6"/>
  <c r="K20" i="6"/>
  <c r="K19" i="6"/>
  <c r="K18" i="6"/>
  <c r="K17" i="6"/>
  <c r="K16" i="6"/>
  <c r="K15" i="6"/>
  <c r="K14" i="6"/>
  <c r="K13" i="6"/>
  <c r="K12" i="6"/>
  <c r="K11" i="6"/>
  <c r="K10" i="6"/>
  <c r="K9" i="6"/>
  <c r="K8" i="6"/>
  <c r="K7" i="6"/>
  <c r="K6" i="6"/>
  <c r="K5" i="6"/>
  <c r="K4" i="6"/>
  <c r="K3" i="6"/>
  <c r="K2" i="6"/>
  <c r="H100" i="6"/>
  <c r="I100" i="6" s="1"/>
  <c r="H99" i="6"/>
  <c r="I99" i="6" s="1"/>
  <c r="H98" i="6"/>
  <c r="I98" i="6" s="1"/>
  <c r="H97" i="6"/>
  <c r="I97" i="6" s="1"/>
  <c r="H96" i="6"/>
  <c r="I96" i="6" s="1"/>
  <c r="H95" i="6"/>
  <c r="I95" i="6" s="1"/>
  <c r="H94" i="6"/>
  <c r="I94" i="6" s="1"/>
  <c r="H93" i="6"/>
  <c r="I93" i="6" s="1"/>
  <c r="H92" i="6"/>
  <c r="I92" i="6" s="1"/>
  <c r="H91" i="6"/>
  <c r="I91" i="6" s="1"/>
  <c r="H90" i="6"/>
  <c r="I90" i="6" s="1"/>
  <c r="H89" i="6"/>
  <c r="I89" i="6" s="1"/>
  <c r="H88" i="6"/>
  <c r="I88" i="6" s="1"/>
  <c r="H87" i="6"/>
  <c r="I87" i="6" s="1"/>
  <c r="H86" i="6"/>
  <c r="I86" i="6" s="1"/>
  <c r="H85" i="6"/>
  <c r="I85" i="6" s="1"/>
  <c r="H84" i="6"/>
  <c r="I84" i="6" s="1"/>
  <c r="H83" i="6"/>
  <c r="I83" i="6" s="1"/>
  <c r="H82" i="6"/>
  <c r="I82" i="6" s="1"/>
  <c r="H81" i="6"/>
  <c r="I81" i="6" s="1"/>
  <c r="H80" i="6"/>
  <c r="I80" i="6" s="1"/>
  <c r="H79" i="6"/>
  <c r="I79" i="6" s="1"/>
  <c r="H78" i="6"/>
  <c r="I78" i="6" s="1"/>
  <c r="H77" i="6"/>
  <c r="I77" i="6" s="1"/>
  <c r="H76" i="6"/>
  <c r="I76" i="6" s="1"/>
  <c r="H75" i="6"/>
  <c r="I75" i="6" s="1"/>
  <c r="H74" i="6"/>
  <c r="I74" i="6" s="1"/>
  <c r="H73" i="6"/>
  <c r="I73" i="6" s="1"/>
  <c r="H72" i="6"/>
  <c r="I72" i="6" s="1"/>
  <c r="H71" i="6"/>
  <c r="I71" i="6" s="1"/>
  <c r="H70" i="6"/>
  <c r="I70" i="6" s="1"/>
  <c r="H69" i="6"/>
  <c r="I69" i="6" s="1"/>
  <c r="H68" i="6"/>
  <c r="I68" i="6" s="1"/>
  <c r="H67" i="6"/>
  <c r="I67" i="6" s="1"/>
  <c r="H66" i="6"/>
  <c r="I66" i="6" s="1"/>
  <c r="H65" i="6"/>
  <c r="I65" i="6" s="1"/>
  <c r="H64" i="6"/>
  <c r="I64" i="6" s="1"/>
  <c r="H63" i="6"/>
  <c r="I63" i="6" s="1"/>
  <c r="H62" i="6"/>
  <c r="I62" i="6" s="1"/>
  <c r="H61" i="6"/>
  <c r="I61" i="6" s="1"/>
  <c r="H60" i="6"/>
  <c r="I60" i="6" s="1"/>
  <c r="H59" i="6"/>
  <c r="I59" i="6" s="1"/>
  <c r="H58" i="6"/>
  <c r="I58" i="6" s="1"/>
  <c r="H57" i="6"/>
  <c r="I57" i="6" s="1"/>
  <c r="H56" i="6"/>
  <c r="I56" i="6" s="1"/>
  <c r="H55" i="6"/>
  <c r="I55" i="6" s="1"/>
  <c r="H54" i="6"/>
  <c r="I54" i="6" s="1"/>
  <c r="H53" i="6"/>
  <c r="I53" i="6" s="1"/>
  <c r="H52" i="6"/>
  <c r="I52" i="6" s="1"/>
  <c r="H51" i="6"/>
  <c r="I51" i="6" s="1"/>
  <c r="H50" i="6"/>
  <c r="I50" i="6" s="1"/>
  <c r="H49" i="6"/>
  <c r="I49" i="6" s="1"/>
  <c r="H48" i="6"/>
  <c r="I48" i="6" s="1"/>
  <c r="H47" i="6"/>
  <c r="I47" i="6" s="1"/>
  <c r="H46" i="6"/>
  <c r="I46" i="6" s="1"/>
  <c r="H45" i="6"/>
  <c r="I45" i="6" s="1"/>
  <c r="H44" i="6"/>
  <c r="I44" i="6" s="1"/>
  <c r="H43" i="6"/>
  <c r="I43" i="6" s="1"/>
  <c r="H42" i="6"/>
  <c r="I42" i="6" s="1"/>
  <c r="H41" i="6"/>
  <c r="I41" i="6" s="1"/>
  <c r="H40" i="6"/>
  <c r="I40" i="6" s="1"/>
  <c r="H39" i="6"/>
  <c r="I39" i="6" s="1"/>
  <c r="H38" i="6"/>
  <c r="I38" i="6" s="1"/>
  <c r="H37" i="6"/>
  <c r="I37" i="6" s="1"/>
  <c r="H36" i="6"/>
  <c r="I36" i="6" s="1"/>
  <c r="H35" i="6"/>
  <c r="I35" i="6" s="1"/>
  <c r="H34" i="6"/>
  <c r="I34" i="6" s="1"/>
  <c r="H33" i="6"/>
  <c r="I33" i="6" s="1"/>
  <c r="H32" i="6"/>
  <c r="I32" i="6" s="1"/>
  <c r="H31" i="6"/>
  <c r="I31" i="6" s="1"/>
  <c r="H30" i="6"/>
  <c r="I30" i="6" s="1"/>
  <c r="H29" i="6"/>
  <c r="I29" i="6" s="1"/>
  <c r="H28" i="6"/>
  <c r="I28" i="6" s="1"/>
  <c r="H27" i="6"/>
  <c r="I27" i="6" s="1"/>
  <c r="H26" i="6"/>
  <c r="I26" i="6" s="1"/>
  <c r="H25" i="6"/>
  <c r="I25" i="6" s="1"/>
  <c r="H24" i="6"/>
  <c r="I24" i="6" s="1"/>
  <c r="H23" i="6"/>
  <c r="I23" i="6" s="1"/>
  <c r="H22" i="6"/>
  <c r="I22" i="6" s="1"/>
  <c r="H21" i="6"/>
  <c r="I21" i="6" s="1"/>
  <c r="H20" i="6"/>
  <c r="I20" i="6" s="1"/>
  <c r="H19" i="6"/>
  <c r="I19" i="6" s="1"/>
  <c r="H18" i="6"/>
  <c r="I18" i="6" s="1"/>
  <c r="H17" i="6"/>
  <c r="I17" i="6" s="1"/>
  <c r="H16" i="6"/>
  <c r="I16" i="6" s="1"/>
  <c r="H15" i="6"/>
  <c r="I15" i="6" s="1"/>
  <c r="H14" i="6"/>
  <c r="I14" i="6" s="1"/>
  <c r="H13" i="6"/>
  <c r="I13" i="6" s="1"/>
  <c r="H12" i="6"/>
  <c r="I12" i="6" s="1"/>
  <c r="H11" i="6"/>
  <c r="I11" i="6" s="1"/>
  <c r="H10" i="6"/>
  <c r="I10" i="6" s="1"/>
  <c r="H9" i="6"/>
  <c r="I9" i="6" s="1"/>
  <c r="H8" i="6"/>
  <c r="I8" i="6" s="1"/>
  <c r="H7" i="6"/>
  <c r="I7" i="6" s="1"/>
  <c r="H6" i="6"/>
  <c r="I6" i="6" s="1"/>
  <c r="H5" i="6"/>
  <c r="I5" i="6" s="1"/>
  <c r="H4" i="6"/>
  <c r="I4" i="6" s="1"/>
  <c r="H3" i="6"/>
  <c r="I3" i="6" s="1"/>
  <c r="H2" i="6"/>
  <c r="I2" i="6" s="1"/>
  <c r="S100" i="6"/>
  <c r="S99" i="6"/>
  <c r="S98" i="6"/>
  <c r="S97" i="6"/>
  <c r="S96" i="6"/>
  <c r="S95" i="6"/>
  <c r="S94" i="6"/>
  <c r="S93" i="6"/>
  <c r="S92" i="6"/>
  <c r="S91" i="6"/>
  <c r="S90" i="6"/>
  <c r="S89" i="6"/>
  <c r="S88" i="6"/>
  <c r="S87" i="6"/>
  <c r="S86" i="6"/>
  <c r="S85" i="6"/>
  <c r="S84" i="6"/>
  <c r="S83" i="6"/>
  <c r="S82" i="6"/>
  <c r="S81" i="6"/>
  <c r="S80" i="6"/>
  <c r="S79" i="6"/>
  <c r="S78" i="6"/>
  <c r="S77" i="6"/>
  <c r="S76" i="6"/>
  <c r="S75" i="6"/>
  <c r="S74" i="6"/>
  <c r="S73" i="6"/>
  <c r="S72" i="6"/>
  <c r="S71" i="6"/>
  <c r="S70" i="6"/>
  <c r="S69" i="6"/>
  <c r="S68" i="6"/>
  <c r="S67" i="6"/>
  <c r="S66" i="6"/>
  <c r="S65" i="6"/>
  <c r="S64" i="6"/>
  <c r="S63" i="6"/>
  <c r="S62" i="6"/>
  <c r="S61" i="6"/>
  <c r="S60" i="6"/>
  <c r="S59" i="6"/>
  <c r="S58" i="6"/>
  <c r="S57" i="6"/>
  <c r="S56" i="6"/>
  <c r="S55" i="6"/>
  <c r="S54" i="6"/>
  <c r="S53" i="6"/>
  <c r="S52" i="6"/>
  <c r="S51" i="6"/>
  <c r="S50" i="6"/>
  <c r="S49" i="6"/>
  <c r="S48" i="6"/>
  <c r="S47" i="6"/>
  <c r="S46" i="6"/>
  <c r="S45" i="6"/>
  <c r="S44" i="6"/>
  <c r="S43" i="6"/>
  <c r="S42" i="6"/>
  <c r="S41" i="6"/>
  <c r="S40" i="6"/>
  <c r="S39" i="6"/>
  <c r="S38" i="6"/>
  <c r="S37" i="6"/>
  <c r="S36" i="6"/>
  <c r="S35" i="6"/>
  <c r="S34" i="6"/>
  <c r="S33" i="6"/>
  <c r="S32" i="6"/>
  <c r="S31" i="6"/>
  <c r="S30" i="6"/>
  <c r="S29" i="6"/>
  <c r="S28" i="6"/>
  <c r="S27" i="6"/>
  <c r="S26" i="6"/>
  <c r="S25" i="6"/>
  <c r="S24" i="6"/>
  <c r="S23" i="6"/>
  <c r="S22" i="6"/>
  <c r="S21" i="6"/>
  <c r="S20" i="6"/>
  <c r="S19" i="6"/>
  <c r="S18" i="6"/>
  <c r="S17" i="6"/>
  <c r="S16" i="6"/>
  <c r="S15" i="6"/>
  <c r="S14" i="6"/>
  <c r="S13" i="6"/>
  <c r="S12" i="6"/>
  <c r="S11" i="6"/>
  <c r="S10" i="6"/>
  <c r="S9" i="6"/>
  <c r="S8" i="6"/>
  <c r="S7" i="6"/>
  <c r="S6" i="6"/>
  <c r="S5" i="6"/>
  <c r="S4" i="6"/>
  <c r="S3" i="6"/>
  <c r="S2" i="6"/>
  <c r="J85" i="12" l="1"/>
  <c r="J77" i="12"/>
  <c r="J63" i="12"/>
  <c r="J93" i="12"/>
  <c r="I71" i="12"/>
  <c r="I75" i="12"/>
  <c r="I76" i="12"/>
  <c r="I83" i="12"/>
  <c r="I84" i="12"/>
  <c r="I91" i="12"/>
  <c r="I92" i="12"/>
  <c r="I99" i="12"/>
  <c r="J65" i="12"/>
  <c r="I64" i="12"/>
  <c r="I69" i="12"/>
  <c r="I70" i="12"/>
  <c r="I74" i="12"/>
  <c r="I81" i="12"/>
  <c r="I82" i="12"/>
  <c r="I89" i="12"/>
  <c r="I90" i="12"/>
  <c r="I97" i="12"/>
  <c r="I98" i="12"/>
  <c r="I67" i="12"/>
  <c r="I68" i="12"/>
  <c r="I73" i="12"/>
  <c r="I79" i="12"/>
  <c r="I80" i="12"/>
  <c r="I87" i="12"/>
  <c r="I88" i="12"/>
  <c r="I95" i="12"/>
  <c r="I96" i="12"/>
  <c r="I66" i="12"/>
  <c r="I72" i="12"/>
  <c r="I78" i="12"/>
  <c r="I86" i="12"/>
  <c r="I94" i="12"/>
  <c r="E4" i="12"/>
  <c r="F3" i="12"/>
  <c r="F2" i="12"/>
  <c r="I100" i="12"/>
  <c r="J63" i="6"/>
  <c r="J64" i="6"/>
  <c r="J67" i="6"/>
  <c r="J65" i="6"/>
  <c r="J68" i="6"/>
  <c r="J66" i="6"/>
  <c r="J69" i="6"/>
  <c r="J70" i="6"/>
  <c r="E2" i="6"/>
  <c r="E3" i="6" s="1"/>
  <c r="E4" i="6" s="1"/>
  <c r="E5" i="6" s="1"/>
  <c r="E6" i="6" s="1"/>
  <c r="E7" i="6" s="1"/>
  <c r="E8" i="6" s="1"/>
  <c r="E9" i="6" s="1"/>
  <c r="E10" i="6" s="1"/>
  <c r="E11" i="6" s="1"/>
  <c r="E12" i="6" s="1"/>
  <c r="E13" i="6" s="1"/>
  <c r="E14" i="6" s="1"/>
  <c r="E15" i="6" s="1"/>
  <c r="E16" i="6" s="1"/>
  <c r="E17" i="6" s="1"/>
  <c r="E18" i="6" s="1"/>
  <c r="E19" i="6" s="1"/>
  <c r="E20" i="6" s="1"/>
  <c r="E21" i="6" s="1"/>
  <c r="E22" i="6" s="1"/>
  <c r="E23" i="6" s="1"/>
  <c r="E24" i="6" s="1"/>
  <c r="E25" i="6" s="1"/>
  <c r="E26" i="6" s="1"/>
  <c r="E27" i="6" s="1"/>
  <c r="E28" i="6" s="1"/>
  <c r="E29" i="6" s="1"/>
  <c r="E30" i="6" s="1"/>
  <c r="E31" i="6" s="1"/>
  <c r="E32" i="6" s="1"/>
  <c r="E33" i="6" s="1"/>
  <c r="E34" i="6" s="1"/>
  <c r="E35" i="6" s="1"/>
  <c r="E36" i="6" s="1"/>
  <c r="E37" i="6" s="1"/>
  <c r="E38" i="6" s="1"/>
  <c r="E39" i="6" s="1"/>
  <c r="E40" i="6" s="1"/>
  <c r="E41" i="6" s="1"/>
  <c r="E42" i="6" s="1"/>
  <c r="E43" i="6" s="1"/>
  <c r="E44" i="6" s="1"/>
  <c r="E45" i="6" s="1"/>
  <c r="E46" i="6" s="1"/>
  <c r="E47" i="6" s="1"/>
  <c r="E48" i="6" s="1"/>
  <c r="E49" i="6" s="1"/>
  <c r="E50" i="6" s="1"/>
  <c r="E51" i="6" s="1"/>
  <c r="E52" i="6" s="1"/>
  <c r="E53" i="6" s="1"/>
  <c r="E54" i="6" s="1"/>
  <c r="E55" i="6" s="1"/>
  <c r="E56" i="6" s="1"/>
  <c r="E57" i="6" s="1"/>
  <c r="E58" i="6" s="1"/>
  <c r="E59" i="6" s="1"/>
  <c r="E60" i="6" s="1"/>
  <c r="E61" i="6" s="1"/>
  <c r="E62" i="6" s="1"/>
  <c r="E63" i="6" s="1"/>
  <c r="E64" i="6" s="1"/>
  <c r="E65" i="6" s="1"/>
  <c r="E66" i="6" s="1"/>
  <c r="E67" i="6" s="1"/>
  <c r="E68" i="6" s="1"/>
  <c r="E69" i="6" s="1"/>
  <c r="E70" i="6" s="1"/>
  <c r="E71" i="6" s="1"/>
  <c r="E72" i="6" s="1"/>
  <c r="E73" i="6" s="1"/>
  <c r="E74" i="6" s="1"/>
  <c r="E75" i="6" s="1"/>
  <c r="E76" i="6" s="1"/>
  <c r="E77" i="6" s="1"/>
  <c r="E78" i="6" s="1"/>
  <c r="E79" i="6" s="1"/>
  <c r="E80" i="6" s="1"/>
  <c r="E81" i="6" s="1"/>
  <c r="E82" i="6" s="1"/>
  <c r="E83" i="6" s="1"/>
  <c r="E84" i="6" s="1"/>
  <c r="E85" i="6" s="1"/>
  <c r="E86" i="6" s="1"/>
  <c r="E87" i="6" s="1"/>
  <c r="E88" i="6" s="1"/>
  <c r="E89" i="6" s="1"/>
  <c r="E90" i="6" s="1"/>
  <c r="E91" i="6" s="1"/>
  <c r="E92" i="6" s="1"/>
  <c r="E93" i="6" s="1"/>
  <c r="E94" i="6" s="1"/>
  <c r="E95" i="6" s="1"/>
  <c r="E96" i="6" s="1"/>
  <c r="E97" i="6" s="1"/>
  <c r="E98" i="6" s="1"/>
  <c r="E99" i="6" s="1"/>
  <c r="E100" i="6" s="1"/>
  <c r="F100" i="6" s="1"/>
  <c r="B2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E5" i="12" l="1"/>
  <c r="F4" i="12"/>
  <c r="F97" i="6"/>
  <c r="F93" i="6"/>
  <c r="F89" i="6"/>
  <c r="F85" i="6"/>
  <c r="F81" i="6"/>
  <c r="F77" i="6"/>
  <c r="F73" i="6"/>
  <c r="F69" i="6"/>
  <c r="F65" i="6"/>
  <c r="F61" i="6"/>
  <c r="F57" i="6"/>
  <c r="F53" i="6"/>
  <c r="F49" i="6"/>
  <c r="F45" i="6"/>
  <c r="F41" i="6"/>
  <c r="F37" i="6"/>
  <c r="F33" i="6"/>
  <c r="F29" i="6"/>
  <c r="F25" i="6"/>
  <c r="F21" i="6"/>
  <c r="F17" i="6"/>
  <c r="F13" i="6"/>
  <c r="F9" i="6"/>
  <c r="F5" i="6"/>
  <c r="F96" i="6"/>
  <c r="F92" i="6"/>
  <c r="F88" i="6"/>
  <c r="F84" i="6"/>
  <c r="F80" i="6"/>
  <c r="F76" i="6"/>
  <c r="F72" i="6"/>
  <c r="F68" i="6"/>
  <c r="F64" i="6"/>
  <c r="F60" i="6"/>
  <c r="F56" i="6"/>
  <c r="F52" i="6"/>
  <c r="F48" i="6"/>
  <c r="F44" i="6"/>
  <c r="F40" i="6"/>
  <c r="F36" i="6"/>
  <c r="F32" i="6"/>
  <c r="F28" i="6"/>
  <c r="F24" i="6"/>
  <c r="F20" i="6"/>
  <c r="F16" i="6"/>
  <c r="F12" i="6"/>
  <c r="F8" i="6"/>
  <c r="F4" i="6"/>
  <c r="F99" i="6"/>
  <c r="F95" i="6"/>
  <c r="F91" i="6"/>
  <c r="F87" i="6"/>
  <c r="F83" i="6"/>
  <c r="F79" i="6"/>
  <c r="F75" i="6"/>
  <c r="F71" i="6"/>
  <c r="F67" i="6"/>
  <c r="F63" i="6"/>
  <c r="F59" i="6"/>
  <c r="F55" i="6"/>
  <c r="F51" i="6"/>
  <c r="F47" i="6"/>
  <c r="F43" i="6"/>
  <c r="F39" i="6"/>
  <c r="F35" i="6"/>
  <c r="F31" i="6"/>
  <c r="F27" i="6"/>
  <c r="F23" i="6"/>
  <c r="F19" i="6"/>
  <c r="F15" i="6"/>
  <c r="F11" i="6"/>
  <c r="F7" i="6"/>
  <c r="F3" i="6"/>
  <c r="F98" i="6"/>
  <c r="F94" i="6"/>
  <c r="F90" i="6"/>
  <c r="F86" i="6"/>
  <c r="F82" i="6"/>
  <c r="F78" i="6"/>
  <c r="F74" i="6"/>
  <c r="F70" i="6"/>
  <c r="F66" i="6"/>
  <c r="F62" i="6"/>
  <c r="F58" i="6"/>
  <c r="F54" i="6"/>
  <c r="F50" i="6"/>
  <c r="F46" i="6"/>
  <c r="F42" i="6"/>
  <c r="F38" i="6"/>
  <c r="F34" i="6"/>
  <c r="F30" i="6"/>
  <c r="F26" i="6"/>
  <c r="F22" i="6"/>
  <c r="F18" i="6"/>
  <c r="F14" i="6"/>
  <c r="F10" i="6"/>
  <c r="F6" i="6"/>
  <c r="F2" i="6"/>
  <c r="J71" i="6"/>
  <c r="J76" i="6"/>
  <c r="J75" i="6"/>
  <c r="J74" i="6"/>
  <c r="J73" i="6"/>
  <c r="J72" i="6"/>
  <c r="J100" i="6"/>
  <c r="J99" i="6"/>
  <c r="J98" i="6"/>
  <c r="J97" i="6"/>
  <c r="J96" i="6"/>
  <c r="J95" i="6"/>
  <c r="J94" i="6"/>
  <c r="J93" i="6"/>
  <c r="J92" i="6"/>
  <c r="J91" i="6"/>
  <c r="J90" i="6"/>
  <c r="J89" i="6"/>
  <c r="J88" i="6"/>
  <c r="J87" i="6"/>
  <c r="J86" i="6"/>
  <c r="J85" i="6"/>
  <c r="J84" i="6"/>
  <c r="J83" i="6"/>
  <c r="J82" i="6"/>
  <c r="J81" i="6"/>
  <c r="J80" i="6"/>
  <c r="J79" i="6"/>
  <c r="J78" i="6"/>
  <c r="J77" i="6"/>
  <c r="F5" i="12" l="1"/>
  <c r="E6" i="12"/>
  <c r="E7" i="12" l="1"/>
  <c r="F6" i="12"/>
  <c r="E8" i="12" l="1"/>
  <c r="F7" i="12"/>
  <c r="E9" i="12" l="1"/>
  <c r="F8" i="12"/>
  <c r="F9" i="12" l="1"/>
  <c r="E10" i="12"/>
  <c r="E11" i="12" l="1"/>
  <c r="F10" i="12"/>
  <c r="E12" i="12" l="1"/>
  <c r="F11" i="12"/>
  <c r="E13" i="12" l="1"/>
  <c r="F12" i="12"/>
  <c r="F13" i="12" l="1"/>
  <c r="E14" i="12"/>
  <c r="E15" i="12" l="1"/>
  <c r="F14" i="12"/>
  <c r="E16" i="12" l="1"/>
  <c r="F15" i="12"/>
  <c r="E17" i="12" l="1"/>
  <c r="F16" i="12"/>
  <c r="E18" i="12" l="1"/>
  <c r="F17" i="12"/>
  <c r="E19" i="12" l="1"/>
  <c r="F18" i="12"/>
  <c r="E20" i="12" l="1"/>
  <c r="F19" i="12"/>
  <c r="E21" i="12" l="1"/>
  <c r="F20" i="12"/>
  <c r="E22" i="12" l="1"/>
  <c r="F21" i="12"/>
  <c r="E23" i="12" l="1"/>
  <c r="F22" i="12"/>
  <c r="E24" i="12" l="1"/>
  <c r="F23" i="12"/>
  <c r="E25" i="12" l="1"/>
  <c r="F24" i="12"/>
  <c r="E26" i="12" l="1"/>
  <c r="F25" i="12"/>
  <c r="E27" i="12" l="1"/>
  <c r="F26" i="12"/>
  <c r="E28" i="12" l="1"/>
  <c r="F27" i="12"/>
  <c r="E29" i="12" l="1"/>
  <c r="F28" i="12"/>
  <c r="E30" i="12" l="1"/>
  <c r="F29" i="12"/>
  <c r="E31" i="12" l="1"/>
  <c r="F30" i="12"/>
  <c r="E32" i="12" l="1"/>
  <c r="F31" i="12"/>
  <c r="E33" i="12" l="1"/>
  <c r="F32" i="12"/>
  <c r="E34" i="12" l="1"/>
  <c r="F33" i="12"/>
  <c r="E35" i="12" l="1"/>
  <c r="F34" i="12"/>
  <c r="E36" i="12" l="1"/>
  <c r="F35" i="12"/>
  <c r="E37" i="12" l="1"/>
  <c r="F36" i="12"/>
  <c r="E38" i="12" l="1"/>
  <c r="F37" i="12"/>
  <c r="E39" i="12" l="1"/>
  <c r="F38" i="12"/>
  <c r="E40" i="12" l="1"/>
  <c r="F39" i="12"/>
  <c r="E41" i="12" l="1"/>
  <c r="F40" i="12"/>
  <c r="E42" i="12" l="1"/>
  <c r="F41" i="12"/>
  <c r="E43" i="12" l="1"/>
  <c r="F42" i="12"/>
  <c r="E44" i="12" l="1"/>
  <c r="F43" i="12"/>
  <c r="E45" i="12" l="1"/>
  <c r="F44" i="12"/>
  <c r="E46" i="12" l="1"/>
  <c r="F45" i="12"/>
  <c r="E47" i="12" l="1"/>
  <c r="F46" i="12"/>
  <c r="E48" i="12" l="1"/>
  <c r="F47" i="12"/>
  <c r="E49" i="12" l="1"/>
  <c r="F48" i="12"/>
  <c r="F49" i="12" l="1"/>
  <c r="E50" i="12"/>
  <c r="E51" i="12" l="1"/>
  <c r="F50" i="12"/>
  <c r="E52" i="12" l="1"/>
  <c r="F51" i="12"/>
  <c r="E53" i="12" l="1"/>
  <c r="F52" i="12"/>
  <c r="E54" i="12" l="1"/>
  <c r="F53" i="12"/>
  <c r="E55" i="12" l="1"/>
  <c r="F54" i="12"/>
  <c r="E56" i="12" l="1"/>
  <c r="F55" i="12"/>
  <c r="E57" i="12" l="1"/>
  <c r="F56" i="12"/>
  <c r="F57" i="12" l="1"/>
  <c r="E58" i="12"/>
  <c r="E59" i="12" l="1"/>
  <c r="F58" i="12"/>
  <c r="E60" i="12" l="1"/>
  <c r="F59" i="12"/>
  <c r="E61" i="12" l="1"/>
  <c r="F60" i="12"/>
  <c r="E62" i="12" l="1"/>
  <c r="F61" i="12"/>
  <c r="E63" i="12" l="1"/>
  <c r="F62" i="12"/>
  <c r="E64" i="12" l="1"/>
  <c r="F63" i="12"/>
  <c r="F64" i="12" l="1"/>
  <c r="E65" i="12"/>
  <c r="E66" i="12" l="1"/>
  <c r="F65" i="12"/>
  <c r="F66" i="12" l="1"/>
  <c r="E67" i="12"/>
  <c r="E68" i="12" l="1"/>
  <c r="F67" i="12"/>
  <c r="F68" i="12" l="1"/>
  <c r="E69" i="12"/>
  <c r="E70" i="12" l="1"/>
  <c r="F69" i="12"/>
  <c r="F70" i="12" l="1"/>
  <c r="E71" i="12"/>
  <c r="E72" i="12" l="1"/>
  <c r="F71" i="12"/>
  <c r="F72" i="12" l="1"/>
  <c r="E73" i="12"/>
  <c r="E74" i="12" l="1"/>
  <c r="F73" i="12"/>
  <c r="F74" i="12" l="1"/>
  <c r="E75" i="12"/>
  <c r="E76" i="12" l="1"/>
  <c r="F75" i="12"/>
  <c r="E77" i="12" l="1"/>
  <c r="F76" i="12"/>
  <c r="E78" i="12" l="1"/>
  <c r="F77" i="12"/>
  <c r="F78" i="12" l="1"/>
  <c r="E79" i="12"/>
  <c r="E80" i="12" l="1"/>
  <c r="F79" i="12"/>
  <c r="F80" i="12" l="1"/>
  <c r="E81" i="12"/>
  <c r="E82" i="12" l="1"/>
  <c r="F81" i="12"/>
  <c r="E83" i="12" l="1"/>
  <c r="F82" i="12"/>
  <c r="E84" i="12" l="1"/>
  <c r="F83" i="12"/>
  <c r="E85" i="12" l="1"/>
  <c r="F84" i="12"/>
  <c r="E86" i="12" l="1"/>
  <c r="F85" i="12"/>
  <c r="F86" i="12" l="1"/>
  <c r="E87" i="12"/>
  <c r="E88" i="12" l="1"/>
  <c r="F87" i="12"/>
  <c r="E89" i="12" l="1"/>
  <c r="F88" i="12"/>
  <c r="E90" i="12" l="1"/>
  <c r="F89" i="12"/>
  <c r="E91" i="12" l="1"/>
  <c r="F90" i="12"/>
  <c r="E92" i="12" l="1"/>
  <c r="F91" i="12"/>
  <c r="F92" i="12" l="1"/>
  <c r="E93" i="12"/>
  <c r="E94" i="12" l="1"/>
  <c r="F93" i="12"/>
  <c r="E95" i="12" l="1"/>
  <c r="F94" i="12"/>
  <c r="E96" i="12" l="1"/>
  <c r="F95" i="12"/>
  <c r="E97" i="12" l="1"/>
  <c r="F96" i="12"/>
  <c r="E98" i="12" l="1"/>
  <c r="F97" i="12"/>
  <c r="E99" i="12" l="1"/>
  <c r="F98" i="12"/>
  <c r="E100" i="12" l="1"/>
  <c r="F100" i="12" s="1"/>
  <c r="F99" i="12"/>
</calcChain>
</file>

<file path=xl/sharedStrings.xml><?xml version="1.0" encoding="utf-8"?>
<sst xmlns="http://schemas.openxmlformats.org/spreadsheetml/2006/main" count="632" uniqueCount="228">
  <si>
    <t>ID</t>
  </si>
  <si>
    <t>FIO</t>
  </si>
  <si>
    <t>Иванов</t>
  </si>
  <si>
    <t>Петров</t>
  </si>
  <si>
    <t>Сидоров</t>
  </si>
  <si>
    <t>Васин</t>
  </si>
  <si>
    <t>Петин</t>
  </si>
  <si>
    <t>Название</t>
  </si>
  <si>
    <t>Дата начала</t>
  </si>
  <si>
    <t>Дата конца</t>
  </si>
  <si>
    <t>Статус</t>
  </si>
  <si>
    <t>Трудоемкость исходная</t>
  </si>
  <si>
    <t>Трудоемкость потраченная</t>
  </si>
  <si>
    <t>Трудоемкость остаток</t>
  </si>
  <si>
    <t>Исполнитель</t>
  </si>
  <si>
    <t>КЭ</t>
  </si>
  <si>
    <t>Проектная область</t>
  </si>
  <si>
    <t>Релиз</t>
  </si>
  <si>
    <t>Спринт</t>
  </si>
  <si>
    <t>Ut id nisl quis enim dignissim sagi</t>
  </si>
  <si>
    <t>Etiam feugiat lorem non m</t>
  </si>
  <si>
    <t>Donec posuere vulputate arcu. Suspendisse eu ligula. Praesent blandit laoreet nibh. Mauris t</t>
  </si>
  <si>
    <t>Nullam quis ante. Praesent vestibulum dapibus nibh. Ut id nisl quis enim dignissim sagittis</t>
  </si>
  <si>
    <t>Nam commodo suscipit quam. In turpis. Maecenas nec odio et ante tincidunt tempus. Nulla neque</t>
  </si>
  <si>
    <t>Curabitur at lacus ac velit ornare lobortis. Duis vel nibh at velit sce</t>
  </si>
  <si>
    <t>Ut id nisl quis enim dignissim sagittis. Donec posuere vulputate ar</t>
  </si>
  <si>
    <t>Integer tincidunt. Etiam ultricies nisi vel</t>
  </si>
  <si>
    <t>Aliquam erat volutpat. Sed hendrerit. Praesent vestibulum dapibus nibh. M</t>
  </si>
  <si>
    <t>Phasellus a est. Nulla sit amet est. Pellen</t>
  </si>
  <si>
    <t>Phasellus accumsan cursus velit. Vivamus aliquet elit ac nisl. Proin magna. Phasellus ac</t>
  </si>
  <si>
    <t>Suspendisse eu ligula. Curabitur</t>
  </si>
  <si>
    <t>Fusce pharetra convallis urna. Pellentesque p</t>
  </si>
  <si>
    <t>Ut tincidunt tincidunt erat. Phasellus viverra nulla ut metus varius laoreet. P</t>
  </si>
  <si>
    <t>Pellentesque ut neque. Vestibulum fringilla pede sit a</t>
  </si>
  <si>
    <t>Suspendisse non nisl sit amet velit hendrerit rutrum. Cras</t>
  </si>
  <si>
    <t>Vestibulum suscipit nulla quis orci. In auctor lobortis lacus. Nulla sit amet est. Cras non dol</t>
  </si>
  <si>
    <t>Aenean imperdiet. Donec e</t>
  </si>
  <si>
    <t>Cras sagittis. Vestibulum ullamcorper mauris at ligula. Cras ultricies mi eu turpis hendr</t>
  </si>
  <si>
    <t>Phasellus viverra nulla ut metus varius laoreet. Vestibulu</t>
  </si>
  <si>
    <t>Vivamus euismod mauris. Vestibulum eu odi</t>
  </si>
  <si>
    <t>Class aptent taciti sociosqu ad litora torquent per conubia nostra</t>
  </si>
  <si>
    <t>Pellentesque habitant morbi</t>
  </si>
  <si>
    <t>Vestibulum volutpat pretium libero. Nullam cursus lacinia erat. Morbi vestibulum volutpat enim</t>
  </si>
  <si>
    <t>In auctor lobortis lacus. Etiam feugiat lo</t>
  </si>
  <si>
    <t>Praesent ac sem eget est egestas volutpat. Ut non enim eleifend felis pretium feugiat. In dui magn</t>
  </si>
  <si>
    <t>Nullam cursus lacinia erat. Aenean viver</t>
  </si>
  <si>
    <t>Maecenas nec odio et ante tincidunt tempus. Quisque ut n</t>
  </si>
  <si>
    <t>Fusce a quam. Fusce egestas elit eget lorem.</t>
  </si>
  <si>
    <t>Nulla facilisi. Fusce vulputate eleifend sapien. Curabitur ve</t>
  </si>
  <si>
    <t>Pellentesque habitant morbi tristique senectus et netus et malesuada fames ac turpis egestas. S</t>
  </si>
  <si>
    <t>Cras dapibus. Curabitur ullamcorper ultricies nisi. Duis leo. Phasellus gravida semper nis</t>
  </si>
  <si>
    <t>Donec sodales sagittis magna. Ut varius tincidunt libero. Quisque id odio. Null</t>
  </si>
  <si>
    <t>Sed in libero ut nibh placerat</t>
  </si>
  <si>
    <t>In hac habitasse platea dictumst. Nulla porta dolor. Suspendisse feugiat. Morbi vestibulum volutpat</t>
  </si>
  <si>
    <t>Vestibulum ullamcorper mauris a</t>
  </si>
  <si>
    <t>Ut varius tincidunt libero. Nullam sagittis. Praesent ut ligula no</t>
  </si>
  <si>
    <t>Nulla facilisi. Proin magna. Ut a nisl id ante tempus hendrerit. Praesent blandit laoreet n</t>
  </si>
  <si>
    <t>Suspendisse potenti. Praesent vestibulum dapib</t>
  </si>
  <si>
    <t>Phasellus accumsan cursus velit. Etiam sit amet orci eget eros faucibus tincidunt. Done</t>
  </si>
  <si>
    <t>Duis leo. Class aptent taciti sociosqu ad litora torquent p</t>
  </si>
  <si>
    <t>Vivamus quis mi. Donec id justo. Aenean commod</t>
  </si>
  <si>
    <t>Vestibulum ante ipsum primis in faucibus orci luctus et ul</t>
  </si>
  <si>
    <t>Ut leo. Praesent nonummy mi in odio. Praesent ac massa</t>
  </si>
  <si>
    <t>Praesent egestas neque eu enim. Aenean</t>
  </si>
  <si>
    <t>Nam adipiscing. Aenean viverra rhoncus pede. Nunc nonummy metus. Duis vel nibh at velit sceleris</t>
  </si>
  <si>
    <t>Pellentesque dapibus hendrerit</t>
  </si>
  <si>
    <t>Phasellus consectetuer vestibulum elit. Fusce egestas elit eget lorem</t>
  </si>
  <si>
    <t>Donec venenatis vulputate lorem. Proin vi</t>
  </si>
  <si>
    <t>Fusce commodo aliquam arcu. Phasellus blandit leo ut odio. Nulla sit amet</t>
  </si>
  <si>
    <t>Nulla porta dolor. Praesent nec nisl a pu</t>
  </si>
  <si>
    <t>Etiam feugiat lorem non metus.</t>
  </si>
  <si>
    <t>Vestibulum dapibus nunc ac augue. Cura</t>
  </si>
  <si>
    <t>Vestibulum ante ipsum primis in faucibus orci luctus et ultrices posuere cubilia</t>
  </si>
  <si>
    <t>Etiam rhoncus. Quisque id mi. Fusce pharetra co</t>
  </si>
  <si>
    <t>Vivamus laoreet. Suspendisse potenti.</t>
  </si>
  <si>
    <t>Vestibulum ante ipsum primis in faucibus orci luctus e</t>
  </si>
  <si>
    <t>Praesent blandit laoreet nibh. Donec vitae orci sed dolor rutrum auctor. Donec</t>
  </si>
  <si>
    <t>Suspendisse feugiat. Curabitur ullamcorper ultricies ni</t>
  </si>
  <si>
    <t>Pellentesque habitant morbi tristique senectus et netus et malesuada fames ac turpis egestas.</t>
  </si>
  <si>
    <t>Ut leo. Suspendisse feugiat. Fusce convallis metu</t>
  </si>
  <si>
    <t>Fusce commodo aliquam arcu. Phasellus</t>
  </si>
  <si>
    <t>Curabitur suscipit suscipit tellus. Nullam accumsan lorem in</t>
  </si>
  <si>
    <t>Новая</t>
  </si>
  <si>
    <t>Запланирована</t>
  </si>
  <si>
    <t>В работе</t>
  </si>
  <si>
    <t>Завершена</t>
  </si>
  <si>
    <t>Отклонена</t>
  </si>
  <si>
    <t>(пусто)</t>
  </si>
  <si>
    <t>Общий итог</t>
  </si>
  <si>
    <t>Названия строк</t>
  </si>
  <si>
    <t>Труд.</t>
  </si>
  <si>
    <t>Потр.</t>
  </si>
  <si>
    <t>e-main</t>
  </si>
  <si>
    <t>Login</t>
  </si>
  <si>
    <t>Ivanov</t>
  </si>
  <si>
    <t>Petrov</t>
  </si>
  <si>
    <t>Sidorov</t>
  </si>
  <si>
    <t>Vasin</t>
  </si>
  <si>
    <t>Petin</t>
  </si>
  <si>
    <t>I@sb.ru</t>
  </si>
  <si>
    <t>s@sb.ru</t>
  </si>
  <si>
    <t>v@sb.ru</t>
  </si>
  <si>
    <t>pet@sb.ru</t>
  </si>
  <si>
    <t>petrov@sb.ru</t>
  </si>
  <si>
    <t>Столбец1</t>
  </si>
  <si>
    <t>Key</t>
  </si>
  <si>
    <t>AuthorID</t>
  </si>
  <si>
    <t>Name</t>
  </si>
  <si>
    <t>Severity</t>
  </si>
  <si>
    <t>01.май</t>
  </si>
  <si>
    <t>Открыта</t>
  </si>
  <si>
    <t>PullRequest</t>
  </si>
  <si>
    <t>Release</t>
  </si>
  <si>
    <t>Epic</t>
  </si>
  <si>
    <t>Id</t>
  </si>
  <si>
    <t>Столбец7</t>
  </si>
  <si>
    <t>ProjectKey</t>
  </si>
  <si>
    <t>Alpha</t>
  </si>
  <si>
    <t>Beta</t>
  </si>
  <si>
    <t>Gamma</t>
  </si>
  <si>
    <t>Delta</t>
  </si>
  <si>
    <t>Epsilon</t>
  </si>
  <si>
    <t>Zeta</t>
  </si>
  <si>
    <t>Eta</t>
  </si>
  <si>
    <t>Theta</t>
  </si>
  <si>
    <t>Iota</t>
  </si>
  <si>
    <t>Kappa</t>
  </si>
  <si>
    <t>Lambda</t>
  </si>
  <si>
    <t>Mu</t>
  </si>
  <si>
    <t>FinishDateTime</t>
  </si>
  <si>
    <t>ExpectationDateTime</t>
  </si>
  <si>
    <t>DeadlineDateTime</t>
  </si>
  <si>
    <t>TasksEstimationValue</t>
  </si>
  <si>
    <t>TeamName</t>
  </si>
  <si>
    <t>StartDateTime</t>
  </si>
  <si>
    <t>SprintEstimatedValue</t>
  </si>
  <si>
    <t>StateId</t>
  </si>
  <si>
    <t>Planned</t>
  </si>
  <si>
    <t>InWork</t>
  </si>
  <si>
    <t>Done</t>
  </si>
  <si>
    <t>In Work</t>
  </si>
  <si>
    <t>Decepticons</t>
  </si>
  <si>
    <t>Autobots</t>
  </si>
  <si>
    <t>Olo-lo</t>
  </si>
  <si>
    <t>Труля-ля</t>
  </si>
  <si>
    <t>o@sb.ru</t>
  </si>
  <si>
    <t>MR</t>
  </si>
  <si>
    <t>Nu</t>
  </si>
  <si>
    <t>Xi</t>
  </si>
  <si>
    <t>Omicron</t>
  </si>
  <si>
    <t>Pi</t>
  </si>
  <si>
    <t>Rho</t>
  </si>
  <si>
    <t>Sigma</t>
  </si>
  <si>
    <t>Tau</t>
  </si>
  <si>
    <t>Upsilon</t>
  </si>
  <si>
    <t>Phi</t>
  </si>
  <si>
    <t>Chi</t>
  </si>
  <si>
    <t>Psi</t>
  </si>
  <si>
    <t>Omega</t>
  </si>
  <si>
    <t>Дата обновления</t>
  </si>
  <si>
    <t>Тр.исх.</t>
  </si>
  <si>
    <t>Тр.факт.</t>
  </si>
  <si>
    <t>Труд.исх.</t>
  </si>
  <si>
    <t>PlannedFinishDateTime</t>
  </si>
  <si>
    <t>ActualFinishDateTime</t>
  </si>
  <si>
    <t>PlannedIFTDateTime</t>
  </si>
  <si>
    <t>ActualIFTDateTime</t>
  </si>
  <si>
    <t>PlannedATDateTime</t>
  </si>
  <si>
    <t>ActualATDateTime</t>
  </si>
  <si>
    <t>State</t>
  </si>
  <si>
    <t>TasksRemainderValue</t>
  </si>
  <si>
    <t>One</t>
  </si>
  <si>
    <t>Two</t>
  </si>
  <si>
    <t>Three</t>
  </si>
  <si>
    <t>Four</t>
  </si>
  <si>
    <t>Five</t>
  </si>
  <si>
    <t>Six</t>
  </si>
  <si>
    <t>Seven</t>
  </si>
  <si>
    <t>Eight</t>
  </si>
  <si>
    <t>Nine</t>
  </si>
  <si>
    <t>Ten</t>
  </si>
  <si>
    <t>Eleven</t>
  </si>
  <si>
    <t>Twelve</t>
  </si>
  <si>
    <t>Thirdteen</t>
  </si>
  <si>
    <t>Fourteen</t>
  </si>
  <si>
    <t>New</t>
  </si>
  <si>
    <t>Stabilization</t>
  </si>
  <si>
    <t>SystemTest</t>
  </si>
  <si>
    <t>IFT</t>
  </si>
  <si>
    <t>Acceptance Test</t>
  </si>
  <si>
    <t>Production</t>
  </si>
  <si>
    <t>Rejected</t>
  </si>
  <si>
    <t>Nam eget dui. Class aptent taciti sociosqu ad litora torquent per conubia nostra  per i</t>
  </si>
  <si>
    <t xml:space="preserve">Sed hendrerit. Sed augue ipsum  egestas nec </t>
  </si>
  <si>
    <t>Sed mollis  eros et ultrices tempus  mauris ipsum aliquam libero  non adipisc</t>
  </si>
  <si>
    <t>Maecenas tempus  tellus eget condimentum rhoncus  sem q</t>
  </si>
  <si>
    <t xml:space="preserve">Nullam nulla eros  ultricies sit amet  nonummy id </t>
  </si>
  <si>
    <t>Quisque libero metus  condimentum nec  tempor a  commodo mollis  magna. Nullam quis ante. Cr</t>
  </si>
  <si>
    <t>Cum sociis natoque penatibus et magnis dis parturient montes  nascetur ridiculu</t>
  </si>
  <si>
    <t>Donec pede justo  fringilla vel  a</t>
  </si>
  <si>
    <t>Proin viverra  ligula sit amet ultrices semper  ligula arcu tristique</t>
  </si>
  <si>
    <t>Proin viverra  ligula sit amet ultrices semper  ligula</t>
  </si>
  <si>
    <t>Nam ipsum risus  rutrum vitae  vestibulum eu  molest</t>
  </si>
  <si>
    <t>Duis arcu tortor  suscipit eg</t>
  </si>
  <si>
    <t>Suspendisse enim turpis  dictum sed  iaculis a  condimentum nec  nisi. Na</t>
  </si>
  <si>
    <t>Curabitur ullamcorper ultricies nisi. Sed magna purus  fermentum eu  tincidunt</t>
  </si>
  <si>
    <t>Aenean leo ligula  porttitor eu  consequa</t>
  </si>
  <si>
    <t>Etiam iaculis nunc ac metus. Donec elit libero  sodales nec  volutpat a  suscipit non  turpis. Prae</t>
  </si>
  <si>
    <t>Aenean tellus metus  bibendum sed  posuere ac  mattis non  nunc. Nullam nulla eros  ultric</t>
  </si>
  <si>
    <t>Nam pretium turpis et arcu. Donec interdum  metus et hendrerit alique</t>
  </si>
  <si>
    <t>Phasellus leo dolor  tempus non  auctor et  he</t>
  </si>
  <si>
    <t>Donec quam felis  ultricies nec  pellentesque eu  pretium quis  sem. Eti</t>
  </si>
  <si>
    <t>Sed cursus turpis vitae tortor. Integer ante arcu  accumsan a</t>
  </si>
  <si>
    <t>Vestibulum rutrum  mi nec ele</t>
  </si>
  <si>
    <t>Praesent metus tellus  elementum eu  semper a  adipiscing</t>
  </si>
  <si>
    <t>Nullam dictum felis eu pede mollis pretium. Quisque id mi. Pellentesque egestas  neque</t>
  </si>
  <si>
    <t>Class aptent taciti sociosqu ad litora torquent per conubia nostra  per inceptos h</t>
  </si>
  <si>
    <t>Pellentesque ut neque. Suspendisse eu ligula. Donec interdum  metus et hendrerit aliquet  dolor</t>
  </si>
  <si>
    <t>Proin magna. Praesent porttitor  nulla vitae posuere iaculis  arcu nisl digni</t>
  </si>
  <si>
    <t>Sed a libero. Suspendisse faucibus  nunc et pellentesque eg</t>
  </si>
  <si>
    <t>Suspendisse pulvinar  augue ac venenatis condimentum  sem libero volutpat</t>
  </si>
  <si>
    <t>Nunc interdum lacus sit amet orci. Aliquam lobortis. Vestibulum rutrum  mi n</t>
  </si>
  <si>
    <t>Fusce risus nisl  viverra et  tem</t>
  </si>
  <si>
    <t>Donec mi odio  faucibus at  scelerisque quis  convalli</t>
  </si>
  <si>
    <t>Sed augue ipsum  egestas nec  vestibulum et  malesuada adipiscing  dui. Phas</t>
  </si>
  <si>
    <t>Vestibulum rutrum  mi nec elementum vehicula  eros quam gravida nisl  id fringilla neque ante vel m</t>
  </si>
  <si>
    <t>Duis leo. Morbi mollis tellus ac sapien. Nam ipsum risus  rutrum vitae  vestibulum eu  molestie</t>
  </si>
  <si>
    <t>Vivamus laoreet. Donec quam felis  ultricies nec  pellentesque eu  pretium qu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</si>
</sst>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04"/>
      <scheme val="minor"/>
    </font>
    <font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8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0">
    <xf numFmtId="0" fontId="0" fillId="0" borderId="0" xfId="0"/>
    <xf numFmtId="16" fontId="0" fillId="0" borderId="0" xfId="0" applyNumberFormat="1"/>
    <xf numFmtId="0" fontId="0" fillId="0" borderId="0" xfId="0" applyAlignment="1"/>
    <xf numFmtId="0" fontId="1" fillId="0" borderId="0" xfId="0" applyFont="1" applyAlignment="1">
      <alignment vertical="center"/>
    </xf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2" fillId="0" borderId="0" xfId="1"/>
    <xf numFmtId="16" fontId="0" fillId="0" borderId="0" xfId="0" applyNumberFormat="1" applyAlignment="1"/>
    <xf numFmtId="16" fontId="1" fillId="0" borderId="0" xfId="0" applyNumberFormat="1" applyFont="1" applyAlignment="1">
      <alignment vertical="center"/>
    </xf>
  </cellXfs>
  <cellStyles count="2">
    <cellStyle name="Гиперссылка" xfId="1" builtinId="8"/>
    <cellStyle name="Обычный" xfId="0" builtinId="0"/>
  </cellStyles>
  <dxfs count="46">
    <dxf>
      <numFmt numFmtId="0" formatCode="General"/>
    </dxf>
    <dxf>
      <alignment horizontal="general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textRotation="0" wrapText="0" indent="0" justifyLastLine="0" shrinkToFit="0" readingOrder="0"/>
    </dxf>
    <dxf>
      <numFmt numFmtId="0" formatCode="General"/>
      <alignment horizontal="general" textRotation="0" wrapText="0" indent="0" justifyLastLine="0" shrinkToFit="0" readingOrder="0"/>
    </dxf>
    <dxf>
      <alignment horizontal="general" textRotation="0" wrapText="0" indent="0" justifyLastLine="0" shrinkToFit="0" readingOrder="0"/>
    </dxf>
    <dxf>
      <alignment horizontal="general" textRotation="0" wrapText="0" indent="0" justifyLastLine="0" shrinkToFit="0" readingOrder="0"/>
    </dxf>
    <dxf>
      <numFmt numFmtId="0" formatCode="General"/>
      <alignment horizontal="general" textRotation="0" wrapText="0" indent="0" justifyLastLine="0" shrinkToFit="0" readingOrder="0"/>
    </dxf>
    <dxf>
      <numFmt numFmtId="0" formatCode="General"/>
      <alignment horizontal="general" textRotation="0" wrapText="0" indent="0" justifyLastLine="0" shrinkToFit="0" readingOrder="0"/>
    </dxf>
    <dxf>
      <alignment horizontal="general" textRotation="0" wrapText="0" indent="0" justifyLastLine="0" shrinkToFit="0" readingOrder="0"/>
    </dxf>
    <dxf>
      <numFmt numFmtId="0" formatCode="General"/>
      <alignment horizontal="general" textRotation="0" wrapText="0" indent="0" justifyLastLine="0" shrinkToFit="0" readingOrder="0"/>
    </dxf>
    <dxf>
      <numFmt numFmtId="0" formatCode="General"/>
      <alignment horizontal="general" textRotation="0" wrapText="0" indent="0" justifyLastLine="0" shrinkToFit="0" readingOrder="0"/>
    </dxf>
    <dxf>
      <alignment horizontal="general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33333"/>
        <name val="Arial"/>
        <family val="2"/>
        <charset val="204"/>
        <scheme val="none"/>
      </font>
      <numFmt numFmtId="21" formatCode="dd/mmm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33333"/>
        <name val="Arial"/>
        <family val="2"/>
        <charset val="204"/>
        <scheme val="none"/>
      </font>
      <numFmt numFmtId="21" formatCode="dd/mmm"/>
      <alignment horizontal="general" vertical="center" textRotation="0" wrapText="0" indent="0" justifyLastLine="0" shrinkToFit="0" readingOrder="0"/>
    </dxf>
    <dxf>
      <alignment horizontal="general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textRotation="0" wrapText="0" indent="0" justifyLastLine="0" shrinkToFit="0" readingOrder="0"/>
    </dxf>
    <dxf>
      <alignment horizontal="general" textRotation="0" wrapText="0" indent="0" justifyLastLine="0" shrinkToFit="0" readingOrder="0"/>
    </dxf>
    <dxf>
      <alignment horizontal="general" textRotation="0" wrapText="0" indent="0" justifyLastLine="0" shrinkToFit="0" readingOrder="0"/>
    </dxf>
    <dxf>
      <alignment horizontal="general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textRotation="0" wrapText="0" indent="0" justifyLastLine="0" shrinkToFit="0" readingOrder="0"/>
    </dxf>
    <dxf>
      <numFmt numFmtId="0" formatCode="General"/>
      <alignment horizontal="general" textRotation="0" wrapText="0" indent="0" justifyLastLine="0" shrinkToFit="0" readingOrder="0"/>
    </dxf>
    <dxf>
      <alignment horizontal="general" textRotation="0" wrapText="0" indent="0" justifyLastLine="0" shrinkToFit="0" readingOrder="0"/>
    </dxf>
    <dxf>
      <alignment horizontal="general" textRotation="0" wrapText="0" indent="0" justifyLastLine="0" shrinkToFit="0" readingOrder="0"/>
    </dxf>
    <dxf>
      <alignment horizontal="general" textRotation="0" wrapText="0" indent="0" justifyLastLine="0" shrinkToFit="0" readingOrder="0"/>
    </dxf>
    <dxf>
      <alignment horizontal="general" textRotation="0" wrapText="0" indent="0" justifyLastLine="0" shrinkToFit="0" readingOrder="0"/>
    </dxf>
    <dxf>
      <alignment horizontal="general" textRotation="0" wrapText="0" indent="0" justifyLastLine="0" shrinkToFit="0" readingOrder="0"/>
    </dxf>
    <dxf>
      <numFmt numFmtId="0" formatCode="General"/>
      <alignment horizontal="general" textRotation="0" wrapText="0" indent="0" justifyLastLine="0" shrinkToFit="0" readingOrder="0"/>
    </dxf>
    <dxf>
      <numFmt numFmtId="0" formatCode="General"/>
      <alignment horizontal="general" textRotation="0" wrapText="0" indent="0" justifyLastLine="0" shrinkToFit="0" readingOrder="0"/>
    </dxf>
    <dxf>
      <alignment horizontal="general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33333"/>
        <name val="Arial"/>
        <family val="2"/>
        <charset val="204"/>
        <scheme val="none"/>
      </font>
      <numFmt numFmtId="21" formatCode="dd/mmm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33333"/>
        <name val="Arial"/>
        <family val="2"/>
        <charset val="204"/>
        <scheme val="none"/>
      </font>
      <numFmt numFmtId="21" formatCode="dd/mmm"/>
      <alignment horizontal="general" vertical="center" textRotation="0" wrapText="0" indent="0" justifyLastLine="0" shrinkToFit="0" readingOrder="0"/>
    </dxf>
    <dxf>
      <alignment horizontal="general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textRotation="0" wrapText="0" indent="0" justifyLastLine="0" shrinkToFit="0" readingOrder="0"/>
    </dxf>
    <dxf>
      <alignment horizontal="general" textRotation="0" wrapText="0" indent="0" justifyLastLine="0" shrinkToFit="0" readingOrder="0"/>
    </dxf>
    <dxf>
      <alignment horizontal="general" textRotation="0" wrapText="0" indent="0" justifyLastLine="0" shrinkToFit="0" readingOrder="0"/>
    </dxf>
    <dxf>
      <numFmt numFmtId="0" formatCode="General"/>
    </dxf>
    <dxf>
      <numFmt numFmtId="21" formatCode="dd/mmm"/>
    </dxf>
    <dxf>
      <numFmt numFmtId="21" formatCode="dd/m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3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2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&#1047;&#1072;&#1076;&#1072;&#1095;&#1080;1.csv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&#1047;&#1072;&#1076;&#1072;&#1095;&#1080;1.csv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kolay" refreshedDate="43762.893252314818" createdVersion="6" refreshedVersion="6" minRefreshableVersion="3" recordCount="100" xr:uid="{E56A01A0-C264-4DAB-B7CF-7FAC666777B6}">
  <cacheSource type="worksheet">
    <worksheetSource ref="A1:P1048576" sheet="Задачи1" r:id="rId2"/>
  </cacheSource>
  <cacheFields count="16">
    <cacheField name="ID" numFmtId="0">
      <sharedItems containsString="0" containsBlank="1" containsNumber="1" containsInteger="1" minValue="1" maxValue="197"/>
    </cacheField>
    <cacheField name="Key" numFmtId="0">
      <sharedItems containsBlank="1"/>
    </cacheField>
    <cacheField name="AuthorID" numFmtId="0">
      <sharedItems containsString="0" containsBlank="1" containsNumber="1" containsInteger="1" minValue="1" maxValue="5"/>
    </cacheField>
    <cacheField name="Name" numFmtId="0">
      <sharedItems containsBlank="1"/>
    </cacheField>
    <cacheField name="01.май" numFmtId="0">
      <sharedItems containsNonDate="0" containsDate="1" containsString="0" containsBlank="1" minDate="2019-05-03T00:00:00" maxDate="2019-11-25T00:00:00"/>
    </cacheField>
    <cacheField name="Дата обновления" numFmtId="0">
      <sharedItems containsNonDate="0" containsDate="1" containsString="0" containsBlank="1" minDate="2019-05-09T00:00:00" maxDate="2019-11-29T00:00:00"/>
    </cacheField>
    <cacheField name="Статус" numFmtId="0">
      <sharedItems containsString="0" containsBlank="1" containsNumber="1" containsInteger="1" minValue="1" maxValue="4"/>
    </cacheField>
    <cacheField name="Трудоемкость исходная" numFmtId="0">
      <sharedItems containsString="0" containsBlank="1" containsNumber="1" containsInteger="1" minValue="1" maxValue="10"/>
    </cacheField>
    <cacheField name="Трудоемкость потраченная" numFmtId="0">
      <sharedItems containsString="0" containsBlank="1" containsNumber="1" containsInteger="1" minValue="1" maxValue="9"/>
    </cacheField>
    <cacheField name="Трудоемкость остаток" numFmtId="0">
      <sharedItems containsString="0" containsBlank="1" containsNumber="1" containsInteger="1" minValue="0" maxValue="9"/>
    </cacheField>
    <cacheField name="Исполнитель" numFmtId="0">
      <sharedItems containsString="0" containsBlank="1" containsNumber="1" containsInteger="1" minValue="1" maxValue="3"/>
    </cacheField>
    <cacheField name="КЭ" numFmtId="0">
      <sharedItems containsString="0" containsBlank="1" containsNumber="1" containsInteger="1" minValue="1" maxValue="3"/>
    </cacheField>
    <cacheField name="Проектная область" numFmtId="0">
      <sharedItems containsBlank="1"/>
    </cacheField>
    <cacheField name="Релиз" numFmtId="0">
      <sharedItems containsString="0" containsBlank="1" containsNumber="1" containsInteger="1" minValue="5" maxValue="10"/>
    </cacheField>
    <cacheField name="Severity" numFmtId="0">
      <sharedItems containsString="0" containsBlank="1" containsNumber="1" containsInteger="1" minValue="0" maxValue="1"/>
    </cacheField>
    <cacheField name="Спринт" numFmtId="0">
      <sharedItems containsString="0" containsBlank="1" containsNumber="1" containsInteger="1" minValue="1" maxValue="17" count="18">
        <n v="1"/>
        <n v="3"/>
        <n v="5"/>
        <n v="7"/>
        <n v="9"/>
        <n v="11"/>
        <n v="13"/>
        <n v="15"/>
        <m/>
        <n v="14" u="1"/>
        <n v="2" u="1"/>
        <n v="6" u="1"/>
        <n v="16" u="1"/>
        <n v="17" u="1"/>
        <n v="8" u="1"/>
        <n v="10" u="1"/>
        <n v="4" u="1"/>
        <n v="12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kolay" refreshedDate="43762.893252430556" createdVersion="6" refreshedVersion="6" minRefreshableVersion="3" recordCount="100" xr:uid="{2ABF8CFA-AA30-4625-800B-5273DA53C207}">
  <cacheSource type="worksheet">
    <worksheetSource ref="A1:S1048576" sheet="Задачи1" r:id="rId2"/>
  </cacheSource>
  <cacheFields count="19">
    <cacheField name="ID" numFmtId="0">
      <sharedItems containsString="0" containsBlank="1" containsNumber="1" containsInteger="1" minValue="1" maxValue="197"/>
    </cacheField>
    <cacheField name="Key" numFmtId="0">
      <sharedItems containsBlank="1"/>
    </cacheField>
    <cacheField name="AuthorID" numFmtId="0">
      <sharedItems containsString="0" containsBlank="1" containsNumber="1" containsInteger="1" minValue="1" maxValue="5"/>
    </cacheField>
    <cacheField name="Name" numFmtId="0">
      <sharedItems containsBlank="1"/>
    </cacheField>
    <cacheField name="01.май" numFmtId="0">
      <sharedItems containsNonDate="0" containsDate="1" containsString="0" containsBlank="1" minDate="2019-05-03T00:00:00" maxDate="2019-11-25T00:00:00"/>
    </cacheField>
    <cacheField name="Дата обновления" numFmtId="0">
      <sharedItems containsNonDate="0" containsDate="1" containsString="0" containsBlank="1" minDate="2019-05-09T00:00:00" maxDate="2019-11-29T00:00:00"/>
    </cacheField>
    <cacheField name="Статус" numFmtId="0">
      <sharedItems containsString="0" containsBlank="1" containsNumber="1" containsInteger="1" minValue="1" maxValue="4"/>
    </cacheField>
    <cacheField name="Трудоемкость исходная" numFmtId="0">
      <sharedItems containsString="0" containsBlank="1" containsNumber="1" containsInteger="1" minValue="1" maxValue="10"/>
    </cacheField>
    <cacheField name="Трудоемкость потраченная" numFmtId="0">
      <sharedItems containsString="0" containsBlank="1" containsNumber="1" containsInteger="1" minValue="1" maxValue="9"/>
    </cacheField>
    <cacheField name="Трудоемкость остаток" numFmtId="0">
      <sharedItems containsString="0" containsBlank="1" containsNumber="1" containsInteger="1" minValue="0" maxValue="9"/>
    </cacheField>
    <cacheField name="Исполнитель" numFmtId="0">
      <sharedItems containsString="0" containsBlank="1" containsNumber="1" containsInteger="1" minValue="1" maxValue="3"/>
    </cacheField>
    <cacheField name="КЭ" numFmtId="0">
      <sharedItems containsString="0" containsBlank="1" containsNumber="1" containsInteger="1" minValue="1" maxValue="3"/>
    </cacheField>
    <cacheField name="Проектная область" numFmtId="0">
      <sharedItems containsBlank="1"/>
    </cacheField>
    <cacheField name="Релиз" numFmtId="0">
      <sharedItems containsString="0" containsBlank="1" containsNumber="1" containsInteger="1" minValue="5" maxValue="10"/>
    </cacheField>
    <cacheField name="Severity" numFmtId="0">
      <sharedItems containsString="0" containsBlank="1" containsNumber="1" containsInteger="1" minValue="0" maxValue="1"/>
    </cacheField>
    <cacheField name="Спринт" numFmtId="0">
      <sharedItems containsString="0" containsBlank="1" containsNumber="1" containsInteger="1" minValue="1" maxValue="15" count="9">
        <n v="1"/>
        <n v="3"/>
        <n v="5"/>
        <n v="7"/>
        <n v="9"/>
        <n v="11"/>
        <n v="13"/>
        <n v="15"/>
        <m/>
      </sharedItems>
    </cacheField>
    <cacheField name="PullRequest" numFmtId="0">
      <sharedItems containsString="0" containsBlank="1" containsNumber="1" containsInteger="1" minValue="1" maxValue="197"/>
    </cacheField>
    <cacheField name="Release" numFmtId="0">
      <sharedItems containsString="0" containsBlank="1" containsNumber="1" containsInteger="1" minValue="7" maxValue="13"/>
    </cacheField>
    <cacheField name="Epic" numFmtId="0">
      <sharedItems containsString="0" containsBlank="1" containsNumber="1" containsInteger="1" minValue="1" maxValue="12" count="13">
        <n v="1"/>
        <n v="3"/>
        <n v="2"/>
        <n v="4"/>
        <n v="5"/>
        <n v="6"/>
        <n v="7"/>
        <n v="9"/>
        <n v="10"/>
        <n v="8"/>
        <n v="11"/>
        <n v="12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kolay" refreshedDate="43762.893252546295" createdVersion="6" refreshedVersion="6" minRefreshableVersion="3" recordCount="99" xr:uid="{CBB9460A-4003-42BF-97B9-916E8D92D1EE}">
  <cacheSource type="worksheet">
    <worksheetSource name="Таблица14"/>
  </cacheSource>
  <cacheFields count="19">
    <cacheField name="ID" numFmtId="0">
      <sharedItems containsSemiMixedTypes="0" containsString="0" containsNumber="1" containsInteger="1" minValue="2" maxValue="198"/>
    </cacheField>
    <cacheField name="Key" numFmtId="0">
      <sharedItems/>
    </cacheField>
    <cacheField name="AuthorID" numFmtId="0">
      <sharedItems containsSemiMixedTypes="0" containsString="0" containsNumber="1" containsInteger="1" minValue="1" maxValue="5"/>
    </cacheField>
    <cacheField name="Name" numFmtId="0">
      <sharedItems/>
    </cacheField>
    <cacheField name="01.май" numFmtId="16">
      <sharedItems containsSemiMixedTypes="0" containsNonDate="0" containsDate="1" containsString="0" minDate="2019-05-03T00:00:00" maxDate="2019-11-23T00:00:00"/>
    </cacheField>
    <cacheField name="Столбец1" numFmtId="16">
      <sharedItems containsSemiMixedTypes="0" containsNonDate="0" containsDate="1" containsString="0" minDate="2019-05-09T00:00:00" maxDate="2019-11-26T00:00:00"/>
    </cacheField>
    <cacheField name="Статус" numFmtId="0">
      <sharedItems containsSemiMixedTypes="0" containsString="0" containsNumber="1" containsInteger="1" minValue="1" maxValue="4"/>
    </cacheField>
    <cacheField name="Трудоемкость исходная" numFmtId="0">
      <sharedItems containsSemiMixedTypes="0" containsString="0" containsNumber="1" containsInteger="1" minValue="1" maxValue="10"/>
    </cacheField>
    <cacheField name="Трудоемкость потраченная" numFmtId="0">
      <sharedItems containsSemiMixedTypes="0" containsString="0" containsNumber="1" containsInteger="1" minValue="1" maxValue="9"/>
    </cacheField>
    <cacheField name="Трудоемкость остаток" numFmtId="0">
      <sharedItems containsSemiMixedTypes="0" containsString="0" containsNumber="1" containsInteger="1" minValue="0" maxValue="10"/>
    </cacheField>
    <cacheField name="Исполнитель" numFmtId="0">
      <sharedItems containsSemiMixedTypes="0" containsString="0" containsNumber="1" containsInteger="1" minValue="4" maxValue="6"/>
    </cacheField>
    <cacheField name="КЭ" numFmtId="0">
      <sharedItems containsSemiMixedTypes="0" containsString="0" containsNumber="1" containsInteger="1" minValue="1" maxValue="3"/>
    </cacheField>
    <cacheField name="Проектная область" numFmtId="0">
      <sharedItems/>
    </cacheField>
    <cacheField name="Релиз" numFmtId="0">
      <sharedItems containsSemiMixedTypes="0" containsString="0" containsNumber="1" containsInteger="1" minValue="5" maxValue="10"/>
    </cacheField>
    <cacheField name="Severity" numFmtId="0">
      <sharedItems containsSemiMixedTypes="0" containsString="0" containsNumber="1" containsInteger="1" minValue="0" maxValue="1"/>
    </cacheField>
    <cacheField name="Спринт" numFmtId="0">
      <sharedItems containsSemiMixedTypes="0" containsString="0" containsNumber="1" containsInteger="1" minValue="2" maxValue="16" count="8">
        <n v="2"/>
        <n v="4"/>
        <n v="6"/>
        <n v="8"/>
        <n v="10"/>
        <n v="12"/>
        <n v="14"/>
        <n v="16"/>
      </sharedItems>
    </cacheField>
    <cacheField name="PullRequest" numFmtId="0">
      <sharedItems containsSemiMixedTypes="0" containsString="0" containsNumber="1" containsInteger="1" minValue="2" maxValue="198"/>
    </cacheField>
    <cacheField name="Release" numFmtId="0">
      <sharedItems containsSemiMixedTypes="0" containsString="0" containsNumber="1" containsInteger="1" minValue="7" maxValue="13"/>
    </cacheField>
    <cacheField name="Epic" numFmtId="0">
      <sharedItems containsSemiMixedTypes="0" containsString="0" containsNumber="1" containsInteger="1" minValue="13" maxValue="24" count="12">
        <n v="17"/>
        <n v="16"/>
        <n v="15"/>
        <n v="13"/>
        <n v="14"/>
        <n v="18"/>
        <n v="19"/>
        <n v="22"/>
        <n v="21"/>
        <n v="20"/>
        <n v="23"/>
        <n v="24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"/>
    <s v="MR-1"/>
    <n v="1"/>
    <s v="Ut id nisl quis enim dignissim sagi"/>
    <d v="2019-05-03T00:00:00"/>
    <d v="2019-05-09T00:00:00"/>
    <n v="4"/>
    <n v="3"/>
    <n v="3"/>
    <n v="0"/>
    <n v="1"/>
    <n v="3"/>
    <s v="MR"/>
    <n v="5"/>
    <n v="0"/>
    <x v="0"/>
  </r>
  <r>
    <n v="3"/>
    <s v="MR-3"/>
    <n v="3"/>
    <s v="Nam eget dui. Class aptent taciti sociosqu ad litora torquent per conubia nostra, per i"/>
    <d v="2019-05-04T00:00:00"/>
    <d v="2019-05-14T00:00:00"/>
    <n v="4"/>
    <n v="3"/>
    <n v="3"/>
    <n v="0"/>
    <n v="2"/>
    <n v="3"/>
    <s v="MR"/>
    <n v="5"/>
    <n v="0"/>
    <x v="0"/>
  </r>
  <r>
    <n v="5"/>
    <s v="MR-5"/>
    <n v="3"/>
    <s v="Sed hendrerit. Sed augue ipsum, egestas nec,"/>
    <d v="2019-05-07T00:00:00"/>
    <d v="2019-05-09T00:00:00"/>
    <n v="4"/>
    <n v="2"/>
    <n v="2"/>
    <n v="0"/>
    <n v="1"/>
    <n v="2"/>
    <s v="MR"/>
    <n v="5"/>
    <n v="1"/>
    <x v="0"/>
  </r>
  <r>
    <n v="7"/>
    <s v="MR-7"/>
    <n v="1"/>
    <s v="Sed mollis, eros et ultrices tempus, mauris ipsum aliquam libero, non adipisc"/>
    <d v="2019-05-08T00:00:00"/>
    <d v="2019-05-18T00:00:00"/>
    <n v="4"/>
    <n v="8"/>
    <n v="7"/>
    <n v="0"/>
    <n v="3"/>
    <n v="2"/>
    <s v="MR"/>
    <n v="5"/>
    <n v="1"/>
    <x v="0"/>
  </r>
  <r>
    <n v="9"/>
    <s v="MR-9"/>
    <n v="1"/>
    <s v="Etiam feugiat lorem non m"/>
    <d v="2019-05-10T00:00:00"/>
    <d v="2019-05-16T00:00:00"/>
    <n v="4"/>
    <n v="1"/>
    <n v="1"/>
    <n v="0"/>
    <n v="2"/>
    <n v="2"/>
    <s v="MR"/>
    <n v="5"/>
    <n v="1"/>
    <x v="0"/>
  </r>
  <r>
    <n v="11"/>
    <s v="MR-11"/>
    <n v="5"/>
    <s v="Maecenas tempus, tellus eget condimentum rhoncus, sem q"/>
    <d v="2019-05-11T00:00:00"/>
    <d v="2019-05-19T00:00:00"/>
    <n v="4"/>
    <n v="1"/>
    <n v="1"/>
    <n v="0"/>
    <n v="3"/>
    <n v="1"/>
    <s v="MR"/>
    <n v="5"/>
    <n v="0"/>
    <x v="0"/>
  </r>
  <r>
    <n v="13"/>
    <s v="MR-13"/>
    <n v="4"/>
    <s v="Nullam nulla eros, ultricies sit amet, nonummy id,"/>
    <d v="2019-05-14T00:00:00"/>
    <d v="2019-05-18T00:00:00"/>
    <n v="4"/>
    <n v="1"/>
    <n v="1"/>
    <n v="0"/>
    <n v="2"/>
    <n v="2"/>
    <s v="MR"/>
    <n v="5"/>
    <n v="1"/>
    <x v="0"/>
  </r>
  <r>
    <n v="15"/>
    <s v="MR-15"/>
    <n v="4"/>
    <s v="Donec posuere vulputate arcu. Suspendisse eu ligula. Praesent blandit laoreet nibh. Mauris t"/>
    <d v="2019-05-17T00:00:00"/>
    <d v="2019-05-18T00:00:00"/>
    <n v="4"/>
    <n v="3"/>
    <n v="3"/>
    <n v="0"/>
    <n v="3"/>
    <n v="3"/>
    <s v="MR"/>
    <n v="5"/>
    <n v="0"/>
    <x v="0"/>
  </r>
  <r>
    <n v="17"/>
    <s v="MR-17"/>
    <n v="1"/>
    <s v="Nullam quis ante. Praesent vestibulum dapibus nibh. Ut id nisl quis enim dignissim sagittis"/>
    <d v="2019-05-20T00:00:00"/>
    <d v="2019-05-28T00:00:00"/>
    <n v="4"/>
    <n v="8"/>
    <n v="7"/>
    <n v="0"/>
    <n v="3"/>
    <n v="2"/>
    <s v="MR"/>
    <n v="5"/>
    <n v="0"/>
    <x v="0"/>
  </r>
  <r>
    <n v="19"/>
    <s v="MR-19"/>
    <n v="5"/>
    <s v="Nam commodo suscipit quam. In turpis. Maecenas nec odio et ante tincidunt tempus. Nulla neque"/>
    <d v="2019-05-23T00:00:00"/>
    <d v="2019-05-25T00:00:00"/>
    <n v="4"/>
    <n v="10"/>
    <n v="9"/>
    <n v="0"/>
    <n v="1"/>
    <n v="2"/>
    <s v="MR"/>
    <n v="5"/>
    <n v="0"/>
    <x v="0"/>
  </r>
  <r>
    <n v="21"/>
    <s v="MR-21"/>
    <n v="3"/>
    <s v="Quisque libero metus, condimentum nec, tempor a, commodo mollis, magna. Nullam quis ante. Cr"/>
    <d v="2019-05-25T00:00:00"/>
    <d v="2019-05-29T00:00:00"/>
    <n v="4"/>
    <n v="2"/>
    <n v="2"/>
    <n v="0"/>
    <n v="3"/>
    <n v="2"/>
    <s v="MR"/>
    <n v="5"/>
    <n v="0"/>
    <x v="0"/>
  </r>
  <r>
    <n v="23"/>
    <s v="MR-23"/>
    <n v="2"/>
    <s v="Cum sociis natoque penatibus et magnis dis parturient montes, nascetur ridiculu"/>
    <d v="2019-05-27T00:00:00"/>
    <d v="2019-06-01T00:00:00"/>
    <n v="4"/>
    <n v="4"/>
    <n v="4"/>
    <n v="0"/>
    <n v="3"/>
    <n v="1"/>
    <s v="MR"/>
    <n v="5"/>
    <n v="0"/>
    <x v="0"/>
  </r>
  <r>
    <n v="25"/>
    <s v="MR-25"/>
    <n v="1"/>
    <s v="Curabitur at lacus ac velit ornare lobortis. Duis vel nibh at velit sce"/>
    <d v="2019-05-30T00:00:00"/>
    <d v="2019-06-09T00:00:00"/>
    <n v="4"/>
    <n v="7"/>
    <n v="6"/>
    <n v="0"/>
    <n v="2"/>
    <n v="1"/>
    <s v="MR"/>
    <n v="5"/>
    <n v="1"/>
    <x v="0"/>
  </r>
  <r>
    <n v="27"/>
    <s v="MR-27"/>
    <n v="5"/>
    <s v="Ut id nisl quis enim dignissim sagittis. Donec posuere vulputate ar"/>
    <d v="2019-06-01T00:00:00"/>
    <d v="2019-06-05T00:00:00"/>
    <n v="4"/>
    <n v="10"/>
    <n v="9"/>
    <n v="0"/>
    <n v="2"/>
    <n v="1"/>
    <s v="MR"/>
    <n v="5"/>
    <n v="0"/>
    <x v="1"/>
  </r>
  <r>
    <n v="29"/>
    <s v="MR-29"/>
    <n v="2"/>
    <s v="Integer tincidunt. Etiam ultricies nisi vel"/>
    <d v="2019-06-02T00:00:00"/>
    <d v="2019-06-03T00:00:00"/>
    <n v="4"/>
    <n v="1"/>
    <n v="1"/>
    <n v="0"/>
    <n v="2"/>
    <n v="3"/>
    <s v="MR"/>
    <n v="5"/>
    <n v="0"/>
    <x v="1"/>
  </r>
  <r>
    <n v="31"/>
    <s v="MR-31"/>
    <n v="5"/>
    <s v="Aliquam erat volutpat. Sed hendrerit. Praesent vestibulum dapibus nibh. M"/>
    <d v="2019-06-05T00:00:00"/>
    <d v="2019-06-09T00:00:00"/>
    <n v="4"/>
    <n v="4"/>
    <n v="4"/>
    <n v="0"/>
    <n v="1"/>
    <n v="1"/>
    <s v="MR"/>
    <n v="5"/>
    <n v="1"/>
    <x v="1"/>
  </r>
  <r>
    <n v="33"/>
    <s v="MR-33"/>
    <n v="5"/>
    <s v="Donec pede justo, fringilla vel, a"/>
    <d v="2019-06-06T00:00:00"/>
    <d v="2019-06-14T00:00:00"/>
    <n v="4"/>
    <n v="1"/>
    <n v="1"/>
    <n v="0"/>
    <n v="2"/>
    <n v="1"/>
    <s v="MR"/>
    <n v="5"/>
    <n v="1"/>
    <x v="1"/>
  </r>
  <r>
    <n v="35"/>
    <s v="MR-35"/>
    <n v="5"/>
    <s v="Proin viverra, ligula sit amet ultrices semper, ligula arcu tristique"/>
    <d v="2019-06-09T00:00:00"/>
    <d v="2019-06-16T00:00:00"/>
    <n v="4"/>
    <n v="10"/>
    <n v="9"/>
    <n v="0"/>
    <n v="3"/>
    <n v="1"/>
    <s v="MR"/>
    <n v="5"/>
    <n v="0"/>
    <x v="1"/>
  </r>
  <r>
    <n v="37"/>
    <s v="MR-37"/>
    <n v="2"/>
    <s v="Phasellus a est. Nulla sit amet est. Pellen"/>
    <d v="2019-06-12T00:00:00"/>
    <d v="2019-06-14T00:00:00"/>
    <n v="4"/>
    <n v="6"/>
    <n v="5"/>
    <n v="0"/>
    <n v="1"/>
    <n v="3"/>
    <s v="MR"/>
    <n v="5"/>
    <n v="1"/>
    <x v="1"/>
  </r>
  <r>
    <n v="39"/>
    <s v="MR-39"/>
    <n v="5"/>
    <s v="Phasellus accumsan cursus velit. Vivamus aliquet elit ac nisl. Proin magna. Phasellus ac"/>
    <d v="2019-06-14T00:00:00"/>
    <d v="2019-06-21T00:00:00"/>
    <n v="4"/>
    <n v="8"/>
    <n v="7"/>
    <n v="0"/>
    <n v="3"/>
    <n v="2"/>
    <s v="MR"/>
    <n v="5"/>
    <n v="0"/>
    <x v="1"/>
  </r>
  <r>
    <n v="41"/>
    <s v="MR-41"/>
    <n v="4"/>
    <s v="Suspendisse eu ligula. Curabitur"/>
    <d v="2019-06-15T00:00:00"/>
    <d v="2019-06-17T00:00:00"/>
    <n v="4"/>
    <n v="10"/>
    <n v="9"/>
    <n v="0"/>
    <n v="3"/>
    <n v="3"/>
    <s v="MR"/>
    <n v="5"/>
    <n v="1"/>
    <x v="1"/>
  </r>
  <r>
    <n v="43"/>
    <s v="MR-43"/>
    <n v="5"/>
    <s v="Proin viverra, ligula sit amet ultrices semper, ligula"/>
    <d v="2019-06-17T00:00:00"/>
    <d v="2019-06-24T00:00:00"/>
    <n v="4"/>
    <n v="4"/>
    <n v="4"/>
    <n v="0"/>
    <n v="3"/>
    <n v="1"/>
    <s v="MR"/>
    <n v="6"/>
    <n v="0"/>
    <x v="2"/>
  </r>
  <r>
    <n v="45"/>
    <s v="MR-45"/>
    <n v="1"/>
    <s v="Nam ipsum risus, rutrum vitae, vestibulum eu, molest"/>
    <d v="2019-06-19T00:00:00"/>
    <d v="2019-06-25T00:00:00"/>
    <n v="4"/>
    <n v="8"/>
    <n v="7"/>
    <n v="0"/>
    <n v="2"/>
    <n v="1"/>
    <s v="MR"/>
    <n v="6"/>
    <n v="1"/>
    <x v="2"/>
  </r>
  <r>
    <n v="47"/>
    <s v="MR-47"/>
    <n v="5"/>
    <s v="Fusce pharetra convallis urna. Pellentesque p"/>
    <d v="2019-06-22T00:00:00"/>
    <d v="2019-06-27T00:00:00"/>
    <n v="4"/>
    <n v="4"/>
    <n v="4"/>
    <n v="0"/>
    <n v="2"/>
    <n v="2"/>
    <s v="MR"/>
    <n v="6"/>
    <n v="0"/>
    <x v="2"/>
  </r>
  <r>
    <n v="49"/>
    <s v="MR-49"/>
    <n v="3"/>
    <s v="Duis arcu tortor, suscipit eg"/>
    <d v="2019-06-24T00:00:00"/>
    <d v="2019-07-01T00:00:00"/>
    <n v="4"/>
    <n v="1"/>
    <n v="1"/>
    <n v="0"/>
    <n v="3"/>
    <n v="3"/>
    <s v="MR"/>
    <n v="6"/>
    <n v="0"/>
    <x v="2"/>
  </r>
  <r>
    <n v="51"/>
    <s v="MR-51"/>
    <n v="1"/>
    <s v="Ut tincidunt tincidunt erat. Phasellus viverra nulla ut metus varius laoreet. P"/>
    <d v="2019-06-26T00:00:00"/>
    <d v="2019-06-29T00:00:00"/>
    <n v="4"/>
    <n v="6"/>
    <n v="5"/>
    <n v="0"/>
    <n v="2"/>
    <n v="2"/>
    <s v="MR"/>
    <n v="6"/>
    <n v="0"/>
    <x v="2"/>
  </r>
  <r>
    <n v="53"/>
    <s v="MR-53"/>
    <n v="2"/>
    <s v="Suspendisse enim turpis, dictum sed, iaculis a, condimentum nec, nisi. Na"/>
    <d v="2019-06-28T00:00:00"/>
    <d v="2019-07-08T00:00:00"/>
    <n v="4"/>
    <n v="6"/>
    <n v="5"/>
    <n v="0"/>
    <n v="3"/>
    <n v="3"/>
    <s v="MR"/>
    <n v="6"/>
    <n v="1"/>
    <x v="2"/>
  </r>
  <r>
    <n v="55"/>
    <s v="MR-55"/>
    <n v="5"/>
    <s v="Curabitur ullamcorper ultricies nisi. Sed magna purus, fermentum eu, tincidunt"/>
    <d v="2019-06-30T00:00:00"/>
    <d v="2019-07-03T00:00:00"/>
    <n v="4"/>
    <n v="7"/>
    <n v="6"/>
    <n v="0"/>
    <n v="1"/>
    <n v="3"/>
    <s v="MR"/>
    <n v="6"/>
    <n v="1"/>
    <x v="2"/>
  </r>
  <r>
    <n v="57"/>
    <s v="MR-57"/>
    <n v="3"/>
    <s v="Aenean leo ligula, porttitor eu, consequa"/>
    <d v="2019-07-03T00:00:00"/>
    <d v="2019-07-09T00:00:00"/>
    <n v="4"/>
    <n v="3"/>
    <n v="3"/>
    <n v="0"/>
    <n v="3"/>
    <n v="1"/>
    <s v="MR"/>
    <n v="6"/>
    <n v="1"/>
    <x v="2"/>
  </r>
  <r>
    <n v="59"/>
    <s v="MR-59"/>
    <n v="2"/>
    <s v="Etiam iaculis nunc ac metus. Donec elit libero, sodales nec, volutpat a, suscipit non, turpis. Prae"/>
    <d v="2019-07-06T00:00:00"/>
    <d v="2019-07-07T00:00:00"/>
    <n v="4"/>
    <n v="4"/>
    <n v="4"/>
    <n v="0"/>
    <n v="3"/>
    <n v="2"/>
    <s v="MR"/>
    <n v="6"/>
    <n v="0"/>
    <x v="2"/>
  </r>
  <r>
    <n v="61"/>
    <s v="MR-61"/>
    <n v="4"/>
    <s v="Pellentesque ut neque. Vestibulum fringilla pede sit a"/>
    <d v="2019-07-07T00:00:00"/>
    <d v="2019-07-10T00:00:00"/>
    <n v="4"/>
    <n v="4"/>
    <n v="4"/>
    <n v="0"/>
    <n v="2"/>
    <n v="1"/>
    <s v="MR"/>
    <n v="6"/>
    <n v="0"/>
    <x v="2"/>
  </r>
  <r>
    <n v="63"/>
    <s v="MR-63"/>
    <n v="3"/>
    <s v="Suspendisse non nisl sit amet velit hendrerit rutrum. Cras"/>
    <d v="2019-07-09T00:00:00"/>
    <d v="2019-07-10T00:00:00"/>
    <n v="4"/>
    <n v="3"/>
    <n v="3"/>
    <n v="0"/>
    <n v="3"/>
    <n v="2"/>
    <s v="MR"/>
    <n v="6"/>
    <n v="1"/>
    <x v="2"/>
  </r>
  <r>
    <n v="65"/>
    <s v="MR-65"/>
    <n v="3"/>
    <s v="Vestibulum suscipit nulla quis orci. In auctor lobortis lacus. Nulla sit amet est. Cras non dol"/>
    <d v="2019-07-12T00:00:00"/>
    <d v="2019-07-19T00:00:00"/>
    <n v="4"/>
    <n v="1"/>
    <n v="1"/>
    <n v="0"/>
    <n v="3"/>
    <n v="1"/>
    <s v="MR"/>
    <n v="7"/>
    <n v="0"/>
    <x v="3"/>
  </r>
  <r>
    <n v="67"/>
    <s v="MR-67"/>
    <n v="5"/>
    <s v="Aenean tellus metus, bibendum sed, posuere ac, mattis non, nunc. Nullam nulla eros, ultric"/>
    <d v="2019-07-14T00:00:00"/>
    <d v="2019-07-23T00:00:00"/>
    <n v="4"/>
    <n v="9"/>
    <n v="8"/>
    <n v="0"/>
    <n v="1"/>
    <n v="3"/>
    <s v="MR"/>
    <n v="7"/>
    <n v="1"/>
    <x v="3"/>
  </r>
  <r>
    <n v="69"/>
    <s v="MR-69"/>
    <n v="2"/>
    <s v="Aenean imperdiet. Donec e"/>
    <d v="2019-07-17T00:00:00"/>
    <d v="2019-07-27T00:00:00"/>
    <n v="4"/>
    <n v="3"/>
    <n v="3"/>
    <n v="0"/>
    <n v="3"/>
    <n v="2"/>
    <s v="MR"/>
    <n v="7"/>
    <n v="0"/>
    <x v="3"/>
  </r>
  <r>
    <n v="71"/>
    <s v="MR-71"/>
    <n v="3"/>
    <s v="Cras sagittis. Vestibulum ullamcorper mauris at ligula. Cras ultricies mi eu turpis hendr"/>
    <d v="2019-07-18T00:00:00"/>
    <d v="2019-07-19T00:00:00"/>
    <n v="4"/>
    <n v="7"/>
    <n v="6"/>
    <n v="0"/>
    <n v="2"/>
    <n v="1"/>
    <s v="MR"/>
    <n v="7"/>
    <n v="0"/>
    <x v="3"/>
  </r>
  <r>
    <n v="73"/>
    <s v="MR-73"/>
    <n v="4"/>
    <s v="Phasellus viverra nulla ut metus varius laoreet. Vestibulu"/>
    <d v="2019-07-21T00:00:00"/>
    <d v="2019-07-22T00:00:00"/>
    <n v="4"/>
    <n v="7"/>
    <n v="6"/>
    <n v="0"/>
    <n v="3"/>
    <n v="1"/>
    <s v="MR"/>
    <n v="7"/>
    <n v="0"/>
    <x v="3"/>
  </r>
  <r>
    <n v="75"/>
    <s v="MR-75"/>
    <n v="5"/>
    <s v="Vivamus euismod mauris. Vestibulum eu odi"/>
    <d v="2019-07-22T00:00:00"/>
    <d v="2019-08-01T00:00:00"/>
    <n v="4"/>
    <n v="8"/>
    <n v="7"/>
    <n v="0"/>
    <n v="1"/>
    <n v="1"/>
    <s v="MR"/>
    <n v="7"/>
    <n v="0"/>
    <x v="3"/>
  </r>
  <r>
    <n v="77"/>
    <s v="MR-77"/>
    <n v="2"/>
    <s v="Class aptent taciti sociosqu ad litora torquent per conubia nostra"/>
    <d v="2019-07-24T00:00:00"/>
    <d v="2019-07-28T00:00:00"/>
    <n v="4"/>
    <n v="5"/>
    <n v="5"/>
    <n v="0"/>
    <n v="3"/>
    <n v="1"/>
    <s v="MR"/>
    <n v="7"/>
    <n v="1"/>
    <x v="3"/>
  </r>
  <r>
    <n v="79"/>
    <s v="MR-79"/>
    <n v="2"/>
    <s v="Nam pretium turpis et arcu. Donec interdum, metus et hendrerit alique"/>
    <d v="2019-07-26T00:00:00"/>
    <d v="2019-08-03T00:00:00"/>
    <n v="4"/>
    <n v="4"/>
    <n v="4"/>
    <n v="0"/>
    <n v="3"/>
    <n v="2"/>
    <s v="MR"/>
    <n v="7"/>
    <n v="0"/>
    <x v="3"/>
  </r>
  <r>
    <n v="81"/>
    <s v="MR-81"/>
    <n v="4"/>
    <s v="Pellentesque habitant morbi"/>
    <d v="2019-07-29T00:00:00"/>
    <d v="2019-08-01T00:00:00"/>
    <n v="4"/>
    <n v="10"/>
    <n v="9"/>
    <n v="0"/>
    <n v="2"/>
    <n v="2"/>
    <s v="MR"/>
    <n v="7"/>
    <n v="0"/>
    <x v="3"/>
  </r>
  <r>
    <n v="83"/>
    <s v="MR-83"/>
    <n v="5"/>
    <s v="Vestibulum volutpat pretium libero. Nullam cursus lacinia erat. Morbi vestibulum volutpat enim"/>
    <d v="2019-07-31T00:00:00"/>
    <d v="2019-08-06T00:00:00"/>
    <n v="4"/>
    <n v="8"/>
    <n v="7"/>
    <n v="0"/>
    <n v="3"/>
    <n v="2"/>
    <s v="MR"/>
    <n v="7"/>
    <n v="1"/>
    <x v="3"/>
  </r>
  <r>
    <n v="85"/>
    <s v="MR-85"/>
    <n v="1"/>
    <s v="In auctor lobortis lacus. Etiam feugiat lo"/>
    <d v="2019-08-03T00:00:00"/>
    <d v="2019-08-04T00:00:00"/>
    <n v="4"/>
    <n v="10"/>
    <n v="9"/>
    <n v="0"/>
    <n v="3"/>
    <n v="3"/>
    <s v="MR"/>
    <n v="7"/>
    <n v="0"/>
    <x v="3"/>
  </r>
  <r>
    <n v="87"/>
    <s v="MR-87"/>
    <n v="2"/>
    <s v="Praesent ac sem eget est egestas volutpat. Ut non enim eleifend felis pretium feugiat. In dui magn"/>
    <d v="2019-08-06T00:00:00"/>
    <d v="2019-08-13T00:00:00"/>
    <n v="4"/>
    <n v="6"/>
    <n v="5"/>
    <n v="0"/>
    <n v="2"/>
    <n v="2"/>
    <s v="MR"/>
    <n v="7"/>
    <n v="1"/>
    <x v="4"/>
  </r>
  <r>
    <n v="89"/>
    <s v="MR-89"/>
    <n v="1"/>
    <s v="Nullam cursus lacinia erat. Aenean viver"/>
    <d v="2019-08-07T00:00:00"/>
    <d v="2019-08-14T00:00:00"/>
    <n v="4"/>
    <n v="9"/>
    <n v="8"/>
    <n v="0"/>
    <n v="2"/>
    <n v="2"/>
    <s v="MR"/>
    <n v="7"/>
    <n v="1"/>
    <x v="4"/>
  </r>
  <r>
    <n v="91"/>
    <s v="MR-91"/>
    <n v="2"/>
    <s v="Maecenas nec odio et ante tincidunt tempus. Quisque ut n"/>
    <d v="2019-08-10T00:00:00"/>
    <d v="2019-08-18T00:00:00"/>
    <n v="4"/>
    <n v="8"/>
    <n v="7"/>
    <n v="0"/>
    <n v="1"/>
    <n v="2"/>
    <s v="MR"/>
    <n v="7"/>
    <n v="0"/>
    <x v="4"/>
  </r>
  <r>
    <n v="93"/>
    <s v="MR-93"/>
    <n v="2"/>
    <s v="Fusce a quam. Fusce egestas elit eget lorem."/>
    <d v="2019-08-13T00:00:00"/>
    <d v="2019-08-21T00:00:00"/>
    <n v="4"/>
    <n v="10"/>
    <n v="9"/>
    <n v="0"/>
    <n v="2"/>
    <n v="3"/>
    <s v="MR"/>
    <n v="7"/>
    <n v="0"/>
    <x v="4"/>
  </r>
  <r>
    <n v="95"/>
    <s v="MR-95"/>
    <n v="3"/>
    <s v="Nulla facilisi. Fusce vulputate eleifend sapien. Curabitur ve"/>
    <d v="2019-08-16T00:00:00"/>
    <d v="2019-08-25T00:00:00"/>
    <n v="4"/>
    <n v="9"/>
    <n v="8"/>
    <n v="0"/>
    <n v="3"/>
    <n v="3"/>
    <s v="MR"/>
    <n v="7"/>
    <n v="1"/>
    <x v="4"/>
  </r>
  <r>
    <n v="97"/>
    <s v="MR-97"/>
    <n v="3"/>
    <s v="Phasellus leo dolor, tempus non, auctor et, he"/>
    <d v="2019-08-17T00:00:00"/>
    <d v="2019-08-19T00:00:00"/>
    <n v="4"/>
    <n v="5"/>
    <n v="5"/>
    <n v="0"/>
    <n v="1"/>
    <n v="1"/>
    <s v="MR"/>
    <n v="7"/>
    <n v="1"/>
    <x v="4"/>
  </r>
  <r>
    <n v="99"/>
    <s v="MR-99"/>
    <n v="5"/>
    <s v="Pellentesque habitant morbi tristique senectus et netus et malesuada fames ac turpis egestas. S"/>
    <d v="2019-08-19T00:00:00"/>
    <d v="2019-08-20T00:00:00"/>
    <n v="4"/>
    <n v="2"/>
    <n v="2"/>
    <n v="0"/>
    <n v="1"/>
    <n v="1"/>
    <s v="MR"/>
    <n v="7"/>
    <n v="0"/>
    <x v="4"/>
  </r>
  <r>
    <n v="101"/>
    <s v="MR-101"/>
    <n v="5"/>
    <s v="Donec quam felis, ultricies nec, pellentesque eu, pretium quis, sem. Eti"/>
    <d v="2019-08-20T00:00:00"/>
    <d v="2019-08-28T00:00:00"/>
    <n v="4"/>
    <n v="8"/>
    <n v="7"/>
    <n v="0"/>
    <n v="2"/>
    <n v="3"/>
    <s v="MR"/>
    <n v="8"/>
    <n v="0"/>
    <x v="4"/>
  </r>
  <r>
    <n v="103"/>
    <s v="MR-103"/>
    <n v="3"/>
    <s v="Cras dapibus. Curabitur ullamcorper ultricies nisi. Duis leo. Phasellus gravida semper nis"/>
    <d v="2019-08-21T00:00:00"/>
    <d v="2019-08-31T00:00:00"/>
    <n v="4"/>
    <n v="9"/>
    <n v="8"/>
    <n v="0"/>
    <n v="2"/>
    <n v="1"/>
    <s v="MR"/>
    <n v="8"/>
    <n v="1"/>
    <x v="4"/>
  </r>
  <r>
    <n v="105"/>
    <s v="MR-105"/>
    <n v="1"/>
    <s v="Sed cursus turpis vitae tortor. Integer ante arcu, accumsan a"/>
    <d v="2019-08-24T00:00:00"/>
    <d v="2019-08-27T00:00:00"/>
    <n v="4"/>
    <n v="10"/>
    <n v="9"/>
    <n v="0"/>
    <n v="1"/>
    <n v="2"/>
    <s v="MR"/>
    <n v="8"/>
    <n v="1"/>
    <x v="4"/>
  </r>
  <r>
    <n v="107"/>
    <s v="MR-107"/>
    <n v="5"/>
    <s v="Donec sodales sagittis magna. Ut varius tincidunt libero. Quisque id odio. Null"/>
    <d v="2019-08-26T00:00:00"/>
    <d v="2019-09-05T00:00:00"/>
    <n v="4"/>
    <n v="9"/>
    <n v="8"/>
    <n v="0"/>
    <n v="1"/>
    <n v="1"/>
    <s v="MR"/>
    <n v="8"/>
    <n v="0"/>
    <x v="4"/>
  </r>
  <r>
    <n v="109"/>
    <s v="MR-109"/>
    <n v="3"/>
    <s v="Sed in libero ut nibh placerat"/>
    <d v="2019-08-27T00:00:00"/>
    <d v="2019-09-02T00:00:00"/>
    <n v="4"/>
    <n v="3"/>
    <n v="3"/>
    <n v="0"/>
    <n v="2"/>
    <n v="1"/>
    <s v="MR"/>
    <n v="8"/>
    <n v="0"/>
    <x v="4"/>
  </r>
  <r>
    <n v="111"/>
    <s v="MR-111"/>
    <n v="4"/>
    <s v="Vestibulum rutrum, mi nec ele"/>
    <d v="2019-08-30T00:00:00"/>
    <d v="2019-08-31T00:00:00"/>
    <n v="4"/>
    <n v="10"/>
    <n v="9"/>
    <n v="0"/>
    <n v="2"/>
    <n v="3"/>
    <s v="MR"/>
    <n v="8"/>
    <n v="0"/>
    <x v="4"/>
  </r>
  <r>
    <n v="113"/>
    <s v="MR-113"/>
    <n v="4"/>
    <s v="Praesent metus tellus, elementum eu, semper a, adipiscing"/>
    <d v="2019-09-02T00:00:00"/>
    <d v="2019-09-03T00:00:00"/>
    <n v="4"/>
    <n v="1"/>
    <n v="1"/>
    <n v="0"/>
    <n v="3"/>
    <n v="3"/>
    <s v="MR"/>
    <n v="8"/>
    <n v="1"/>
    <x v="4"/>
  </r>
  <r>
    <n v="115"/>
    <s v="MR-115"/>
    <n v="5"/>
    <s v="In hac habitasse platea dictumst. Nulla porta dolor. Suspendisse feugiat. Morbi vestibulum volutpat"/>
    <d v="2019-09-03T00:00:00"/>
    <d v="2019-09-04T00:00:00"/>
    <n v="4"/>
    <n v="3"/>
    <n v="3"/>
    <n v="0"/>
    <n v="1"/>
    <n v="3"/>
    <s v="MR"/>
    <n v="8"/>
    <n v="1"/>
    <x v="4"/>
  </r>
  <r>
    <n v="117"/>
    <s v="MR-117"/>
    <n v="3"/>
    <s v="Vestibulum ullamcorper mauris a"/>
    <d v="2019-09-05T00:00:00"/>
    <d v="2019-09-15T00:00:00"/>
    <n v="4"/>
    <n v="5"/>
    <n v="5"/>
    <n v="0"/>
    <n v="3"/>
    <n v="3"/>
    <s v="MR"/>
    <n v="8"/>
    <n v="0"/>
    <x v="5"/>
  </r>
  <r>
    <n v="119"/>
    <s v="MR-119"/>
    <n v="1"/>
    <s v="Ut varius tincidunt libero. Nullam sagittis. Praesent ut ligula no"/>
    <d v="2019-09-07T00:00:00"/>
    <d v="2019-09-12T00:00:00"/>
    <n v="4"/>
    <n v="9"/>
    <n v="8"/>
    <n v="0"/>
    <n v="1"/>
    <n v="2"/>
    <s v="MR"/>
    <n v="8"/>
    <n v="0"/>
    <x v="5"/>
  </r>
  <r>
    <n v="121"/>
    <s v="MR-121"/>
    <n v="3"/>
    <s v="Nulla facilisi. Proin magna. Ut a nisl id ante tempus hendrerit. Praesent blandit laoreet n"/>
    <d v="2019-09-10T00:00:00"/>
    <d v="2019-09-17T00:00:00"/>
    <n v="4"/>
    <n v="10"/>
    <n v="9"/>
    <n v="0"/>
    <n v="1"/>
    <n v="3"/>
    <s v="MR"/>
    <n v="8"/>
    <n v="1"/>
    <x v="5"/>
  </r>
  <r>
    <n v="123"/>
    <s v="MR-123"/>
    <n v="3"/>
    <s v="Suspendisse potenti. Praesent vestibulum dapib"/>
    <d v="2019-09-12T00:00:00"/>
    <d v="2019-09-21T00:00:00"/>
    <n v="3"/>
    <n v="6"/>
    <n v="5"/>
    <n v="5"/>
    <n v="3"/>
    <n v="3"/>
    <s v="MR"/>
    <n v="8"/>
    <n v="0"/>
    <x v="5"/>
  </r>
  <r>
    <n v="125"/>
    <s v="MR-125"/>
    <n v="5"/>
    <s v="Nullam dictum felis eu pede mollis pretium. Quisque id mi. Pellentesque egestas, neque"/>
    <d v="2019-09-15T00:00:00"/>
    <d v="2019-09-25T00:00:00"/>
    <n v="3"/>
    <n v="1"/>
    <n v="1"/>
    <n v="0"/>
    <n v="3"/>
    <n v="3"/>
    <s v="MR"/>
    <n v="8"/>
    <n v="0"/>
    <x v="5"/>
  </r>
  <r>
    <n v="127"/>
    <s v="MR-127"/>
    <n v="2"/>
    <s v="Class aptent taciti sociosqu ad litora torquent per conubia nostra, per inceptos h"/>
    <d v="2019-09-17T00:00:00"/>
    <d v="2019-09-26T00:00:00"/>
    <n v="3"/>
    <n v="1"/>
    <n v="1"/>
    <n v="0"/>
    <n v="2"/>
    <n v="3"/>
    <s v="MR"/>
    <n v="8"/>
    <n v="0"/>
    <x v="5"/>
  </r>
  <r>
    <n v="129"/>
    <s v="MR-129"/>
    <n v="1"/>
    <s v="Pellentesque ut neque. Suspendisse eu ligula. Donec interdum, metus et hendrerit aliquet, dolor"/>
    <d v="2019-09-19T00:00:00"/>
    <d v="2019-09-22T00:00:00"/>
    <n v="3"/>
    <n v="9"/>
    <n v="8"/>
    <n v="6"/>
    <n v="2"/>
    <n v="3"/>
    <s v="MR"/>
    <n v="9"/>
    <n v="1"/>
    <x v="5"/>
  </r>
  <r>
    <n v="131"/>
    <s v="MR-131"/>
    <n v="1"/>
    <s v="Phasellus accumsan cursus velit. Etiam sit amet orci eget eros faucibus tincidunt. Done"/>
    <d v="2019-09-20T00:00:00"/>
    <d v="2019-09-22T00:00:00"/>
    <n v="3"/>
    <n v="6"/>
    <n v="5"/>
    <n v="4"/>
    <n v="2"/>
    <n v="1"/>
    <s v="MR"/>
    <n v="9"/>
    <n v="0"/>
    <x v="5"/>
  </r>
  <r>
    <n v="133"/>
    <s v="MR-133"/>
    <n v="4"/>
    <s v="Duis leo. Class aptent taciti sociosqu ad litora torquent p"/>
    <d v="2019-09-23T00:00:00"/>
    <d v="2019-10-02T00:00:00"/>
    <n v="3"/>
    <n v="10"/>
    <n v="9"/>
    <n v="5"/>
    <n v="3"/>
    <n v="1"/>
    <s v="MR"/>
    <n v="9"/>
    <n v="1"/>
    <x v="5"/>
  </r>
  <r>
    <n v="135"/>
    <s v="MR-135"/>
    <n v="2"/>
    <s v="Proin magna. Praesent porttitor, nulla vitae posuere iaculis, arcu nisl digni"/>
    <d v="2019-09-26T00:00:00"/>
    <d v="2019-10-04T00:00:00"/>
    <n v="2"/>
    <n v="3"/>
    <n v="3"/>
    <n v="3"/>
    <n v="3"/>
    <n v="3"/>
    <s v="MR"/>
    <n v="9"/>
    <n v="0"/>
    <x v="5"/>
  </r>
  <r>
    <n v="137"/>
    <s v="MR-137"/>
    <n v="5"/>
    <s v="Vivamus quis mi. Donec id justo. Aenean commod"/>
    <d v="2019-09-27T00:00:00"/>
    <d v="2019-10-02T00:00:00"/>
    <n v="2"/>
    <n v="9"/>
    <n v="8"/>
    <n v="9"/>
    <n v="2"/>
    <n v="2"/>
    <s v="MR"/>
    <n v="9"/>
    <n v="0"/>
    <x v="5"/>
  </r>
  <r>
    <n v="139"/>
    <s v="MR-139"/>
    <n v="3"/>
    <s v="Vestibulum ante ipsum primis in faucibus orci luctus et ul"/>
    <d v="2019-09-29T00:00:00"/>
    <d v="2019-10-02T00:00:00"/>
    <n v="2"/>
    <n v="9"/>
    <n v="8"/>
    <n v="9"/>
    <n v="1"/>
    <n v="1"/>
    <s v="MR"/>
    <n v="9"/>
    <n v="1"/>
    <x v="5"/>
  </r>
  <r>
    <n v="141"/>
    <s v="MR-141"/>
    <n v="2"/>
    <s v="Sed a libero. Suspendisse faucibus, nunc et pellentesque eg"/>
    <d v="2019-10-01T00:00:00"/>
    <d v="2019-10-06T00:00:00"/>
    <n v="2"/>
    <n v="7"/>
    <n v="6"/>
    <n v="7"/>
    <n v="1"/>
    <n v="2"/>
    <s v="MR"/>
    <n v="9"/>
    <n v="1"/>
    <x v="6"/>
  </r>
  <r>
    <n v="143"/>
    <s v="MR-143"/>
    <n v="1"/>
    <s v="Ut leo. Praesent nonummy mi in odio. Praesent ac massa"/>
    <d v="2019-10-03T00:00:00"/>
    <d v="2019-10-09T00:00:00"/>
    <n v="2"/>
    <n v="4"/>
    <n v="4"/>
    <n v="4"/>
    <n v="1"/>
    <n v="2"/>
    <s v="MR"/>
    <n v="9"/>
    <n v="0"/>
    <x v="6"/>
  </r>
  <r>
    <n v="145"/>
    <s v="MR-145"/>
    <n v="5"/>
    <s v="Praesent egestas neque eu enim. Aenean"/>
    <d v="2019-10-06T00:00:00"/>
    <d v="2019-10-14T00:00:00"/>
    <n v="2"/>
    <n v="9"/>
    <n v="8"/>
    <n v="9"/>
    <n v="2"/>
    <n v="2"/>
    <s v="MR"/>
    <n v="9"/>
    <n v="0"/>
    <x v="6"/>
  </r>
  <r>
    <n v="147"/>
    <s v="MR-147"/>
    <n v="1"/>
    <s v="Nam adipiscing. Aenean viverra rhoncus pede. Nunc nonummy metus. Duis vel nibh at velit sceleris"/>
    <d v="2019-10-07T00:00:00"/>
    <d v="2019-10-12T00:00:00"/>
    <n v="2"/>
    <n v="2"/>
    <n v="2"/>
    <n v="2"/>
    <n v="1"/>
    <n v="1"/>
    <s v="MR"/>
    <n v="9"/>
    <n v="0"/>
    <x v="6"/>
  </r>
  <r>
    <n v="149"/>
    <s v="MR-149"/>
    <n v="5"/>
    <s v="Pellentesque dapibus hendrerit"/>
    <d v="2019-10-10T00:00:00"/>
    <d v="2019-10-17T00:00:00"/>
    <n v="2"/>
    <n v="7"/>
    <n v="6"/>
    <n v="7"/>
    <n v="1"/>
    <n v="3"/>
    <s v="MR"/>
    <n v="9"/>
    <n v="0"/>
    <x v="6"/>
  </r>
  <r>
    <n v="151"/>
    <s v="MR-151"/>
    <n v="4"/>
    <s v="Phasellus consectetuer vestibulum elit. Fusce egestas elit eget lorem"/>
    <d v="2019-10-12T00:00:00"/>
    <d v="2019-10-17T00:00:00"/>
    <n v="2"/>
    <n v="7"/>
    <n v="6"/>
    <n v="7"/>
    <n v="2"/>
    <n v="1"/>
    <s v="MR"/>
    <n v="9"/>
    <n v="1"/>
    <x v="6"/>
  </r>
  <r>
    <n v="153"/>
    <s v="MR-153"/>
    <n v="5"/>
    <s v="Donec venenatis vulputate lorem. Proin vi"/>
    <d v="2019-10-13T00:00:00"/>
    <d v="2019-10-23T00:00:00"/>
    <n v="2"/>
    <n v="9"/>
    <n v="8"/>
    <n v="9"/>
    <n v="1"/>
    <n v="2"/>
    <s v="MR"/>
    <n v="9"/>
    <n v="1"/>
    <x v="6"/>
  </r>
  <r>
    <n v="155"/>
    <s v="MR-155"/>
    <n v="4"/>
    <s v="Fusce commodo aliquam arcu. Phasellus blandit leo ut odio. Nulla sit amet"/>
    <d v="2019-10-15T00:00:00"/>
    <d v="2019-10-16T00:00:00"/>
    <n v="2"/>
    <n v="6"/>
    <n v="5"/>
    <n v="6"/>
    <n v="1"/>
    <n v="1"/>
    <s v="MR"/>
    <n v="9"/>
    <n v="1"/>
    <x v="6"/>
  </r>
  <r>
    <n v="157"/>
    <s v="MR-157"/>
    <n v="1"/>
    <s v="Nulla porta dolor. Praesent nec nisl a pu"/>
    <d v="2019-10-16T00:00:00"/>
    <d v="2019-10-18T00:00:00"/>
    <n v="2"/>
    <n v="7"/>
    <n v="6"/>
    <n v="7"/>
    <n v="3"/>
    <n v="1"/>
    <s v="MR"/>
    <n v="9"/>
    <n v="0"/>
    <x v="6"/>
  </r>
  <r>
    <n v="159"/>
    <s v="MR-159"/>
    <n v="2"/>
    <s v="Suspendisse pulvinar, augue ac venenatis condimentum, sem libero volutpat"/>
    <d v="2019-10-19T00:00:00"/>
    <d v="2019-10-23T00:00:00"/>
    <n v="2"/>
    <n v="8"/>
    <n v="7"/>
    <n v="8"/>
    <n v="3"/>
    <n v="1"/>
    <s v="MR"/>
    <n v="9"/>
    <n v="1"/>
    <x v="6"/>
  </r>
  <r>
    <n v="161"/>
    <s v="MR-161"/>
    <n v="1"/>
    <s v="Nunc interdum lacus sit amet orci. Aliquam lobortis. Vestibulum rutrum, mi n"/>
    <d v="2019-10-20T00:00:00"/>
    <d v="2019-10-26T00:00:00"/>
    <n v="2"/>
    <n v="6"/>
    <n v="5"/>
    <n v="6"/>
    <n v="3"/>
    <n v="2"/>
    <s v="MR"/>
    <n v="9"/>
    <n v="0"/>
    <x v="6"/>
  </r>
  <r>
    <n v="163"/>
    <s v="MR-163"/>
    <n v="3"/>
    <s v="Etiam feugiat lorem non metus."/>
    <d v="2019-10-23T00:00:00"/>
    <d v="2019-10-31T00:00:00"/>
    <n v="2"/>
    <n v="5"/>
    <n v="5"/>
    <n v="5"/>
    <n v="1"/>
    <n v="2"/>
    <s v="MR"/>
    <n v="9"/>
    <n v="0"/>
    <x v="6"/>
  </r>
  <r>
    <n v="165"/>
    <s v="MR-165"/>
    <n v="2"/>
    <s v="Fusce risus nisl, viverra et, tem"/>
    <d v="2019-10-26T00:00:00"/>
    <d v="2019-10-29T00:00:00"/>
    <n v="2"/>
    <n v="2"/>
    <n v="2"/>
    <n v="2"/>
    <n v="1"/>
    <n v="3"/>
    <s v="MR"/>
    <n v="10"/>
    <n v="0"/>
    <x v="7"/>
  </r>
  <r>
    <n v="167"/>
    <s v="MR-167"/>
    <n v="5"/>
    <s v="Vestibulum dapibus nunc ac augue. Cura"/>
    <d v="2019-10-28T00:00:00"/>
    <d v="2019-11-03T00:00:00"/>
    <n v="2"/>
    <n v="7"/>
    <n v="6"/>
    <n v="7"/>
    <n v="2"/>
    <n v="1"/>
    <s v="MR"/>
    <n v="10"/>
    <n v="0"/>
    <x v="7"/>
  </r>
  <r>
    <n v="169"/>
    <s v="MR-169"/>
    <n v="3"/>
    <s v="Vestibulum ante ipsum primis in faucibus orci luctus et ultrices posuere cubilia"/>
    <d v="2019-10-30T00:00:00"/>
    <d v="2019-11-04T00:00:00"/>
    <n v="2"/>
    <n v="2"/>
    <n v="2"/>
    <n v="2"/>
    <n v="3"/>
    <n v="3"/>
    <s v="MR"/>
    <n v="10"/>
    <n v="1"/>
    <x v="7"/>
  </r>
  <r>
    <n v="171"/>
    <s v="MR-171"/>
    <n v="5"/>
    <s v="Etiam rhoncus. Quisque id mi. Fusce pharetra co"/>
    <d v="2019-10-31T00:00:00"/>
    <d v="2019-11-07T00:00:00"/>
    <n v="2"/>
    <n v="7"/>
    <n v="6"/>
    <n v="7"/>
    <n v="2"/>
    <n v="3"/>
    <s v="MR"/>
    <n v="10"/>
    <n v="0"/>
    <x v="7"/>
  </r>
  <r>
    <n v="173"/>
    <s v="MR-173"/>
    <n v="5"/>
    <s v="Vivamus laoreet. Suspendisse potenti."/>
    <d v="2019-11-02T00:00:00"/>
    <d v="2019-11-08T00:00:00"/>
    <n v="2"/>
    <n v="7"/>
    <n v="6"/>
    <n v="7"/>
    <n v="1"/>
    <n v="2"/>
    <s v="MR"/>
    <n v="10"/>
    <n v="0"/>
    <x v="7"/>
  </r>
  <r>
    <n v="175"/>
    <s v="MR-175"/>
    <n v="2"/>
    <s v="Vestibulum ante ipsum primis in faucibus orci luctus e"/>
    <d v="2019-11-03T00:00:00"/>
    <d v="2019-11-06T00:00:00"/>
    <n v="2"/>
    <n v="4"/>
    <n v="4"/>
    <n v="4"/>
    <n v="3"/>
    <n v="1"/>
    <s v="MR"/>
    <n v="10"/>
    <n v="1"/>
    <x v="7"/>
  </r>
  <r>
    <n v="177"/>
    <s v="MR-177"/>
    <n v="3"/>
    <s v="Praesent blandit laoreet nibh. Donec vitae orci sed dolor rutrum auctor. Donec"/>
    <d v="2019-11-04T00:00:00"/>
    <d v="2019-11-13T00:00:00"/>
    <n v="2"/>
    <n v="4"/>
    <n v="4"/>
    <n v="4"/>
    <n v="3"/>
    <n v="3"/>
    <s v="MR"/>
    <n v="10"/>
    <n v="0"/>
    <x v="7"/>
  </r>
  <r>
    <n v="179"/>
    <s v="MR-179"/>
    <n v="2"/>
    <s v="Donec mi odio, faucibus at, scelerisque quis, convalli"/>
    <d v="2019-11-07T00:00:00"/>
    <d v="2019-11-16T00:00:00"/>
    <n v="2"/>
    <n v="9"/>
    <n v="8"/>
    <n v="9"/>
    <n v="3"/>
    <n v="1"/>
    <s v="MR"/>
    <n v="10"/>
    <n v="0"/>
    <x v="7"/>
  </r>
  <r>
    <n v="181"/>
    <s v="MR-181"/>
    <n v="5"/>
    <s v="Sed augue ipsum, egestas nec, vestibulum et, malesuada adipiscing, dui. Phas"/>
    <d v="2019-11-08T00:00:00"/>
    <d v="2019-11-15T00:00:00"/>
    <n v="1"/>
    <n v="4"/>
    <n v="4"/>
    <n v="4"/>
    <n v="1"/>
    <n v="1"/>
    <s v="MR"/>
    <n v="10"/>
    <n v="1"/>
    <x v="7"/>
  </r>
  <r>
    <n v="183"/>
    <s v="MR-183"/>
    <n v="4"/>
    <s v="Suspendisse feugiat. Curabitur ullamcorper ultricies ni"/>
    <d v="2019-11-09T00:00:00"/>
    <d v="2019-11-12T00:00:00"/>
    <n v="1"/>
    <n v="1"/>
    <n v="1"/>
    <n v="1"/>
    <n v="1"/>
    <n v="1"/>
    <s v="MR"/>
    <n v="10"/>
    <n v="0"/>
    <x v="7"/>
  </r>
  <r>
    <n v="185"/>
    <s v="MR-185"/>
    <n v="1"/>
    <s v="Pellentesque habitant morbi tristique senectus et netus et malesuada fames ac turpis egestas."/>
    <d v="2019-11-12T00:00:00"/>
    <d v="2019-11-14T00:00:00"/>
    <n v="1"/>
    <n v="4"/>
    <n v="4"/>
    <n v="4"/>
    <n v="3"/>
    <n v="3"/>
    <s v="MR"/>
    <n v="10"/>
    <n v="1"/>
    <x v="7"/>
  </r>
  <r>
    <n v="187"/>
    <s v="MR-187"/>
    <n v="3"/>
    <s v="Ut leo. Suspendisse feugiat. Fusce convallis metu"/>
    <d v="2019-11-15T00:00:00"/>
    <d v="2019-11-19T00:00:00"/>
    <n v="1"/>
    <n v="8"/>
    <n v="7"/>
    <n v="8"/>
    <n v="2"/>
    <n v="1"/>
    <s v="MR"/>
    <n v="10"/>
    <n v="1"/>
    <x v="7"/>
  </r>
  <r>
    <n v="189"/>
    <s v="MR-189"/>
    <n v="5"/>
    <s v="Vestibulum rutrum, mi nec elementum vehicula, eros quam gravida nisl, id fringilla neque ante vel m"/>
    <d v="2019-11-16T00:00:00"/>
    <d v="2019-11-25T00:00:00"/>
    <n v="1"/>
    <n v="3"/>
    <n v="3"/>
    <n v="3"/>
    <n v="2"/>
    <n v="1"/>
    <s v="MR"/>
    <n v="10"/>
    <n v="0"/>
    <x v="7"/>
  </r>
  <r>
    <n v="191"/>
    <s v="MR-191"/>
    <n v="3"/>
    <s v="Duis leo. Morbi mollis tellus ac sapien. Nam ipsum risus, rutrum vitae, vestibulum eu, molestie"/>
    <d v="2019-11-19T00:00:00"/>
    <d v="2019-11-22T00:00:00"/>
    <n v="1"/>
    <n v="9"/>
    <n v="8"/>
    <n v="9"/>
    <n v="3"/>
    <n v="2"/>
    <s v="MR"/>
    <n v="10"/>
    <n v="1"/>
    <x v="7"/>
  </r>
  <r>
    <n v="193"/>
    <s v="MR-193"/>
    <n v="2"/>
    <s v="Vivamus laoreet. Donec quam felis, ultricies nec, pellentesque eu, pretium qu"/>
    <d v="2019-11-20T00:00:00"/>
    <d v="2019-11-28T00:00:00"/>
    <n v="1"/>
    <n v="5"/>
    <n v="5"/>
    <n v="5"/>
    <n v="2"/>
    <n v="2"/>
    <s v="MR"/>
    <n v="10"/>
    <n v="1"/>
    <x v="7"/>
  </r>
  <r>
    <n v="195"/>
    <s v="MR-195"/>
    <n v="1"/>
    <s v="Fusce commodo aliquam arcu. Phasellus"/>
    <d v="2019-11-23T00:00:00"/>
    <d v="2019-11-27T00:00:00"/>
    <n v="1"/>
    <n v="5"/>
    <n v="5"/>
    <n v="5"/>
    <n v="3"/>
    <n v="1"/>
    <s v="MR"/>
    <n v="10"/>
    <n v="0"/>
    <x v="7"/>
  </r>
  <r>
    <n v="197"/>
    <s v="MR-197"/>
    <n v="5"/>
    <s v="Curabitur suscipit suscipit tellus. Nullam accumsan lorem in"/>
    <d v="2019-11-24T00:00:00"/>
    <d v="2019-11-27T00:00:00"/>
    <n v="1"/>
    <n v="9"/>
    <n v="8"/>
    <n v="9"/>
    <n v="2"/>
    <n v="2"/>
    <s v="MR"/>
    <n v="10"/>
    <n v="0"/>
    <x v="7"/>
  </r>
  <r>
    <m/>
    <m/>
    <m/>
    <m/>
    <m/>
    <m/>
    <m/>
    <m/>
    <m/>
    <m/>
    <m/>
    <m/>
    <m/>
    <m/>
    <m/>
    <x v="8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"/>
    <s v="MR-1"/>
    <n v="1"/>
    <s v="Ut id nisl quis enim dignissim sagi"/>
    <d v="2019-05-03T00:00:00"/>
    <d v="2019-05-09T00:00:00"/>
    <n v="4"/>
    <n v="3"/>
    <n v="3"/>
    <n v="0"/>
    <n v="1"/>
    <n v="3"/>
    <s v="MR"/>
    <n v="5"/>
    <n v="0"/>
    <x v="0"/>
    <n v="1"/>
    <n v="7"/>
    <x v="0"/>
  </r>
  <r>
    <n v="3"/>
    <s v="MR-3"/>
    <n v="3"/>
    <s v="Nam eget dui. Class aptent taciti sociosqu ad litora torquent per conubia nostra, per i"/>
    <d v="2019-05-04T00:00:00"/>
    <d v="2019-05-14T00:00:00"/>
    <n v="4"/>
    <n v="3"/>
    <n v="3"/>
    <n v="0"/>
    <n v="2"/>
    <n v="3"/>
    <s v="MR"/>
    <n v="5"/>
    <n v="0"/>
    <x v="0"/>
    <n v="3"/>
    <n v="7"/>
    <x v="1"/>
  </r>
  <r>
    <n v="5"/>
    <s v="MR-5"/>
    <n v="3"/>
    <s v="Sed hendrerit. Sed augue ipsum, egestas nec,"/>
    <d v="2019-05-07T00:00:00"/>
    <d v="2019-05-09T00:00:00"/>
    <n v="4"/>
    <n v="2"/>
    <n v="2"/>
    <n v="0"/>
    <n v="1"/>
    <n v="2"/>
    <s v="MR"/>
    <n v="5"/>
    <n v="1"/>
    <x v="0"/>
    <n v="5"/>
    <n v="7"/>
    <x v="2"/>
  </r>
  <r>
    <n v="7"/>
    <s v="MR-7"/>
    <n v="1"/>
    <s v="Sed mollis, eros et ultrices tempus, mauris ipsum aliquam libero, non adipisc"/>
    <d v="2019-05-08T00:00:00"/>
    <d v="2019-05-18T00:00:00"/>
    <n v="4"/>
    <n v="8"/>
    <n v="7"/>
    <n v="0"/>
    <n v="3"/>
    <n v="2"/>
    <s v="MR"/>
    <n v="5"/>
    <n v="1"/>
    <x v="0"/>
    <n v="7"/>
    <n v="7"/>
    <x v="3"/>
  </r>
  <r>
    <n v="9"/>
    <s v="MR-9"/>
    <n v="1"/>
    <s v="Etiam feugiat lorem non m"/>
    <d v="2019-05-10T00:00:00"/>
    <d v="2019-05-16T00:00:00"/>
    <n v="4"/>
    <n v="1"/>
    <n v="1"/>
    <n v="0"/>
    <n v="2"/>
    <n v="2"/>
    <s v="MR"/>
    <n v="5"/>
    <n v="1"/>
    <x v="0"/>
    <n v="9"/>
    <n v="7"/>
    <x v="0"/>
  </r>
  <r>
    <n v="11"/>
    <s v="MR-11"/>
    <n v="5"/>
    <s v="Maecenas tempus, tellus eget condimentum rhoncus, sem q"/>
    <d v="2019-05-11T00:00:00"/>
    <d v="2019-05-19T00:00:00"/>
    <n v="4"/>
    <n v="1"/>
    <n v="1"/>
    <n v="0"/>
    <n v="3"/>
    <n v="1"/>
    <s v="MR"/>
    <n v="5"/>
    <n v="0"/>
    <x v="0"/>
    <n v="11"/>
    <n v="7"/>
    <x v="3"/>
  </r>
  <r>
    <n v="13"/>
    <s v="MR-13"/>
    <n v="4"/>
    <s v="Nullam nulla eros, ultricies sit amet, nonummy id,"/>
    <d v="2019-05-14T00:00:00"/>
    <d v="2019-05-18T00:00:00"/>
    <n v="4"/>
    <n v="1"/>
    <n v="1"/>
    <n v="0"/>
    <n v="2"/>
    <n v="2"/>
    <s v="MR"/>
    <n v="5"/>
    <n v="1"/>
    <x v="0"/>
    <n v="13"/>
    <n v="7"/>
    <x v="0"/>
  </r>
  <r>
    <n v="15"/>
    <s v="MR-15"/>
    <n v="4"/>
    <s v="Donec posuere vulputate arcu. Suspendisse eu ligula. Praesent blandit laoreet nibh. Mauris t"/>
    <d v="2019-05-17T00:00:00"/>
    <d v="2019-05-18T00:00:00"/>
    <n v="4"/>
    <n v="3"/>
    <n v="3"/>
    <n v="0"/>
    <n v="3"/>
    <n v="3"/>
    <s v="MR"/>
    <n v="5"/>
    <n v="0"/>
    <x v="0"/>
    <n v="15"/>
    <n v="7"/>
    <x v="4"/>
  </r>
  <r>
    <n v="17"/>
    <s v="MR-17"/>
    <n v="1"/>
    <s v="Nullam quis ante. Praesent vestibulum dapibus nibh. Ut id nisl quis enim dignissim sagittis"/>
    <d v="2019-05-20T00:00:00"/>
    <d v="2019-05-28T00:00:00"/>
    <n v="4"/>
    <n v="8"/>
    <n v="7"/>
    <n v="0"/>
    <n v="3"/>
    <n v="2"/>
    <s v="MR"/>
    <n v="5"/>
    <n v="0"/>
    <x v="0"/>
    <n v="17"/>
    <n v="7"/>
    <x v="0"/>
  </r>
  <r>
    <n v="19"/>
    <s v="MR-19"/>
    <n v="5"/>
    <s v="Nam commodo suscipit quam. In turpis. Maecenas nec odio et ante tincidunt tempus. Nulla neque"/>
    <d v="2019-05-23T00:00:00"/>
    <d v="2019-05-25T00:00:00"/>
    <n v="4"/>
    <n v="10"/>
    <n v="9"/>
    <n v="0"/>
    <n v="1"/>
    <n v="2"/>
    <s v="MR"/>
    <n v="5"/>
    <n v="0"/>
    <x v="0"/>
    <n v="19"/>
    <n v="7"/>
    <x v="4"/>
  </r>
  <r>
    <n v="21"/>
    <s v="MR-21"/>
    <n v="3"/>
    <s v="Quisque libero metus, condimentum nec, tempor a, commodo mollis, magna. Nullam quis ante. Cr"/>
    <d v="2019-05-25T00:00:00"/>
    <d v="2019-05-29T00:00:00"/>
    <n v="4"/>
    <n v="2"/>
    <n v="2"/>
    <n v="0"/>
    <n v="3"/>
    <n v="2"/>
    <s v="MR"/>
    <n v="5"/>
    <n v="0"/>
    <x v="0"/>
    <n v="21"/>
    <n v="7"/>
    <x v="4"/>
  </r>
  <r>
    <n v="23"/>
    <s v="MR-23"/>
    <n v="2"/>
    <s v="Cum sociis natoque penatibus et magnis dis parturient montes, nascetur ridiculu"/>
    <d v="2019-05-27T00:00:00"/>
    <d v="2019-06-01T00:00:00"/>
    <n v="4"/>
    <n v="4"/>
    <n v="4"/>
    <n v="0"/>
    <n v="3"/>
    <n v="1"/>
    <s v="MR"/>
    <n v="5"/>
    <n v="0"/>
    <x v="0"/>
    <n v="23"/>
    <n v="7"/>
    <x v="2"/>
  </r>
  <r>
    <n v="25"/>
    <s v="MR-25"/>
    <n v="1"/>
    <s v="Curabitur at lacus ac velit ornare lobortis. Duis vel nibh at velit sce"/>
    <d v="2019-05-30T00:00:00"/>
    <d v="2019-06-09T00:00:00"/>
    <n v="4"/>
    <n v="7"/>
    <n v="6"/>
    <n v="0"/>
    <n v="2"/>
    <n v="1"/>
    <s v="MR"/>
    <n v="5"/>
    <n v="1"/>
    <x v="0"/>
    <n v="25"/>
    <n v="7"/>
    <x v="4"/>
  </r>
  <r>
    <n v="27"/>
    <s v="MR-27"/>
    <n v="5"/>
    <s v="Ut id nisl quis enim dignissim sagittis. Donec posuere vulputate ar"/>
    <d v="2019-06-01T00:00:00"/>
    <d v="2019-06-05T00:00:00"/>
    <n v="4"/>
    <n v="10"/>
    <n v="9"/>
    <n v="0"/>
    <n v="2"/>
    <n v="1"/>
    <s v="MR"/>
    <n v="5"/>
    <n v="0"/>
    <x v="1"/>
    <n v="27"/>
    <n v="7"/>
    <x v="2"/>
  </r>
  <r>
    <n v="29"/>
    <s v="MR-29"/>
    <n v="2"/>
    <s v="Integer tincidunt. Etiam ultricies nisi vel"/>
    <d v="2019-06-02T00:00:00"/>
    <d v="2019-06-03T00:00:00"/>
    <n v="4"/>
    <n v="1"/>
    <n v="1"/>
    <n v="0"/>
    <n v="2"/>
    <n v="3"/>
    <s v="MR"/>
    <n v="5"/>
    <n v="0"/>
    <x v="1"/>
    <n v="29"/>
    <n v="7"/>
    <x v="4"/>
  </r>
  <r>
    <n v="31"/>
    <s v="MR-31"/>
    <n v="5"/>
    <s v="Aliquam erat volutpat. Sed hendrerit. Praesent vestibulum dapibus nibh. M"/>
    <d v="2019-06-05T00:00:00"/>
    <d v="2019-06-09T00:00:00"/>
    <n v="4"/>
    <n v="4"/>
    <n v="4"/>
    <n v="0"/>
    <n v="1"/>
    <n v="1"/>
    <s v="MR"/>
    <n v="5"/>
    <n v="1"/>
    <x v="1"/>
    <n v="31"/>
    <n v="7"/>
    <x v="2"/>
  </r>
  <r>
    <n v="33"/>
    <s v="MR-33"/>
    <n v="5"/>
    <s v="Donec pede justo, fringilla vel, a"/>
    <d v="2019-06-06T00:00:00"/>
    <d v="2019-06-14T00:00:00"/>
    <n v="4"/>
    <n v="1"/>
    <n v="1"/>
    <n v="0"/>
    <n v="2"/>
    <n v="1"/>
    <s v="MR"/>
    <n v="5"/>
    <n v="1"/>
    <x v="1"/>
    <n v="33"/>
    <n v="8"/>
    <x v="2"/>
  </r>
  <r>
    <n v="35"/>
    <s v="MR-35"/>
    <n v="5"/>
    <s v="Proin viverra, ligula sit amet ultrices semper, ligula arcu tristique"/>
    <d v="2019-06-09T00:00:00"/>
    <d v="2019-06-16T00:00:00"/>
    <n v="4"/>
    <n v="10"/>
    <n v="9"/>
    <n v="0"/>
    <n v="3"/>
    <n v="1"/>
    <s v="MR"/>
    <n v="5"/>
    <n v="0"/>
    <x v="1"/>
    <n v="35"/>
    <n v="8"/>
    <x v="3"/>
  </r>
  <r>
    <n v="37"/>
    <s v="MR-37"/>
    <n v="2"/>
    <s v="Phasellus a est. Nulla sit amet est. Pellen"/>
    <d v="2019-06-12T00:00:00"/>
    <d v="2019-06-14T00:00:00"/>
    <n v="4"/>
    <n v="6"/>
    <n v="5"/>
    <n v="0"/>
    <n v="1"/>
    <n v="3"/>
    <s v="MR"/>
    <n v="5"/>
    <n v="1"/>
    <x v="1"/>
    <n v="37"/>
    <n v="8"/>
    <x v="3"/>
  </r>
  <r>
    <n v="39"/>
    <s v="MR-39"/>
    <n v="5"/>
    <s v="Phasellus accumsan cursus velit. Vivamus aliquet elit ac nisl. Proin magna. Phasellus ac"/>
    <d v="2019-06-14T00:00:00"/>
    <d v="2019-06-21T00:00:00"/>
    <n v="4"/>
    <n v="8"/>
    <n v="7"/>
    <n v="0"/>
    <n v="3"/>
    <n v="2"/>
    <s v="MR"/>
    <n v="5"/>
    <n v="0"/>
    <x v="1"/>
    <n v="39"/>
    <n v="8"/>
    <x v="1"/>
  </r>
  <r>
    <n v="41"/>
    <s v="MR-41"/>
    <n v="4"/>
    <s v="Suspendisse eu ligula. Curabitur"/>
    <d v="2019-06-15T00:00:00"/>
    <d v="2019-06-17T00:00:00"/>
    <n v="4"/>
    <n v="10"/>
    <n v="9"/>
    <n v="0"/>
    <n v="3"/>
    <n v="3"/>
    <s v="MR"/>
    <n v="5"/>
    <n v="1"/>
    <x v="1"/>
    <n v="41"/>
    <n v="8"/>
    <x v="3"/>
  </r>
  <r>
    <n v="43"/>
    <s v="MR-43"/>
    <n v="5"/>
    <s v="Proin viverra, ligula sit amet ultrices semper, ligula"/>
    <d v="2019-06-17T00:00:00"/>
    <d v="2019-06-24T00:00:00"/>
    <n v="4"/>
    <n v="4"/>
    <n v="4"/>
    <n v="0"/>
    <n v="3"/>
    <n v="1"/>
    <s v="MR"/>
    <n v="6"/>
    <n v="0"/>
    <x v="2"/>
    <n v="43"/>
    <n v="8"/>
    <x v="1"/>
  </r>
  <r>
    <n v="45"/>
    <s v="MR-45"/>
    <n v="1"/>
    <s v="Nam ipsum risus, rutrum vitae, vestibulum eu, molest"/>
    <d v="2019-06-19T00:00:00"/>
    <d v="2019-06-25T00:00:00"/>
    <n v="4"/>
    <n v="8"/>
    <n v="7"/>
    <n v="0"/>
    <n v="2"/>
    <n v="1"/>
    <s v="MR"/>
    <n v="6"/>
    <n v="1"/>
    <x v="2"/>
    <n v="45"/>
    <n v="8"/>
    <x v="3"/>
  </r>
  <r>
    <n v="47"/>
    <s v="MR-47"/>
    <n v="5"/>
    <s v="Fusce pharetra convallis urna. Pellentesque p"/>
    <d v="2019-06-22T00:00:00"/>
    <d v="2019-06-27T00:00:00"/>
    <n v="4"/>
    <n v="4"/>
    <n v="4"/>
    <n v="0"/>
    <n v="2"/>
    <n v="2"/>
    <s v="MR"/>
    <n v="6"/>
    <n v="0"/>
    <x v="2"/>
    <n v="47"/>
    <n v="8"/>
    <x v="3"/>
  </r>
  <r>
    <n v="49"/>
    <s v="MR-49"/>
    <n v="3"/>
    <s v="Duis arcu tortor, suscipit eg"/>
    <d v="2019-06-24T00:00:00"/>
    <d v="2019-07-01T00:00:00"/>
    <n v="4"/>
    <n v="1"/>
    <n v="1"/>
    <n v="0"/>
    <n v="3"/>
    <n v="3"/>
    <s v="MR"/>
    <n v="6"/>
    <n v="0"/>
    <x v="2"/>
    <n v="49"/>
    <n v="8"/>
    <x v="5"/>
  </r>
  <r>
    <n v="51"/>
    <s v="MR-51"/>
    <n v="1"/>
    <s v="Ut tincidunt tincidunt erat. Phasellus viverra nulla ut metus varius laoreet. P"/>
    <d v="2019-06-26T00:00:00"/>
    <d v="2019-06-29T00:00:00"/>
    <n v="4"/>
    <n v="6"/>
    <n v="5"/>
    <n v="0"/>
    <n v="2"/>
    <n v="2"/>
    <s v="MR"/>
    <n v="6"/>
    <n v="0"/>
    <x v="2"/>
    <n v="51"/>
    <n v="8"/>
    <x v="6"/>
  </r>
  <r>
    <n v="53"/>
    <s v="MR-53"/>
    <n v="2"/>
    <s v="Suspendisse enim turpis, dictum sed, iaculis a, condimentum nec, nisi. Na"/>
    <d v="2019-06-28T00:00:00"/>
    <d v="2019-07-08T00:00:00"/>
    <n v="4"/>
    <n v="6"/>
    <n v="5"/>
    <n v="0"/>
    <n v="3"/>
    <n v="3"/>
    <s v="MR"/>
    <n v="6"/>
    <n v="1"/>
    <x v="2"/>
    <n v="53"/>
    <n v="8"/>
    <x v="5"/>
  </r>
  <r>
    <n v="55"/>
    <s v="MR-55"/>
    <n v="5"/>
    <s v="Curabitur ullamcorper ultricies nisi. Sed magna purus, fermentum eu, tincidunt"/>
    <d v="2019-06-30T00:00:00"/>
    <d v="2019-07-03T00:00:00"/>
    <n v="4"/>
    <n v="7"/>
    <n v="6"/>
    <n v="0"/>
    <n v="1"/>
    <n v="3"/>
    <s v="MR"/>
    <n v="6"/>
    <n v="1"/>
    <x v="2"/>
    <n v="55"/>
    <n v="8"/>
    <x v="1"/>
  </r>
  <r>
    <n v="57"/>
    <s v="MR-57"/>
    <n v="3"/>
    <s v="Aenean leo ligula, porttitor eu, consequa"/>
    <d v="2019-07-03T00:00:00"/>
    <d v="2019-07-09T00:00:00"/>
    <n v="4"/>
    <n v="3"/>
    <n v="3"/>
    <n v="0"/>
    <n v="3"/>
    <n v="1"/>
    <s v="MR"/>
    <n v="6"/>
    <n v="1"/>
    <x v="2"/>
    <n v="57"/>
    <n v="8"/>
    <x v="5"/>
  </r>
  <r>
    <n v="59"/>
    <s v="MR-59"/>
    <n v="2"/>
    <s v="Etiam iaculis nunc ac metus. Donec elit libero, sodales nec, volutpat a, suscipit non, turpis. Prae"/>
    <d v="2019-07-06T00:00:00"/>
    <d v="2019-07-07T00:00:00"/>
    <n v="4"/>
    <n v="4"/>
    <n v="4"/>
    <n v="0"/>
    <n v="3"/>
    <n v="2"/>
    <s v="MR"/>
    <n v="6"/>
    <n v="0"/>
    <x v="2"/>
    <n v="59"/>
    <n v="8"/>
    <x v="6"/>
  </r>
  <r>
    <n v="61"/>
    <s v="MR-61"/>
    <n v="4"/>
    <s v="Pellentesque ut neque. Vestibulum fringilla pede sit a"/>
    <d v="2019-07-07T00:00:00"/>
    <d v="2019-07-10T00:00:00"/>
    <n v="4"/>
    <n v="4"/>
    <n v="4"/>
    <n v="0"/>
    <n v="2"/>
    <n v="1"/>
    <s v="MR"/>
    <n v="6"/>
    <n v="0"/>
    <x v="2"/>
    <n v="61"/>
    <n v="8"/>
    <x v="3"/>
  </r>
  <r>
    <n v="63"/>
    <s v="MR-63"/>
    <n v="3"/>
    <s v="Suspendisse non nisl sit amet velit hendrerit rutrum. Cras"/>
    <d v="2019-07-09T00:00:00"/>
    <d v="2019-07-10T00:00:00"/>
    <n v="4"/>
    <n v="3"/>
    <n v="3"/>
    <n v="0"/>
    <n v="3"/>
    <n v="2"/>
    <s v="MR"/>
    <n v="6"/>
    <n v="1"/>
    <x v="2"/>
    <n v="63"/>
    <n v="8"/>
    <x v="3"/>
  </r>
  <r>
    <n v="65"/>
    <s v="MR-65"/>
    <n v="3"/>
    <s v="Vestibulum suscipit nulla quis orci. In auctor lobortis lacus. Nulla sit amet est. Cras non dol"/>
    <d v="2019-07-12T00:00:00"/>
    <d v="2019-07-19T00:00:00"/>
    <n v="4"/>
    <n v="1"/>
    <n v="1"/>
    <n v="0"/>
    <n v="3"/>
    <n v="1"/>
    <s v="MR"/>
    <n v="7"/>
    <n v="0"/>
    <x v="3"/>
    <n v="65"/>
    <n v="8"/>
    <x v="3"/>
  </r>
  <r>
    <n v="67"/>
    <s v="MR-67"/>
    <n v="5"/>
    <s v="Aenean tellus metus, bibendum sed, posuere ac, mattis non, nunc. Nullam nulla eros, ultric"/>
    <d v="2019-07-14T00:00:00"/>
    <d v="2019-07-23T00:00:00"/>
    <n v="4"/>
    <n v="9"/>
    <n v="8"/>
    <n v="0"/>
    <n v="1"/>
    <n v="3"/>
    <s v="MR"/>
    <n v="7"/>
    <n v="1"/>
    <x v="3"/>
    <n v="67"/>
    <n v="8"/>
    <x v="1"/>
  </r>
  <r>
    <n v="69"/>
    <s v="MR-69"/>
    <n v="2"/>
    <s v="Aenean imperdiet. Donec e"/>
    <d v="2019-07-17T00:00:00"/>
    <d v="2019-07-27T00:00:00"/>
    <n v="4"/>
    <n v="3"/>
    <n v="3"/>
    <n v="0"/>
    <n v="3"/>
    <n v="2"/>
    <s v="MR"/>
    <n v="7"/>
    <n v="0"/>
    <x v="3"/>
    <n v="69"/>
    <n v="8"/>
    <x v="1"/>
  </r>
  <r>
    <n v="71"/>
    <s v="MR-71"/>
    <n v="3"/>
    <s v="Cras sagittis. Vestibulum ullamcorper mauris at ligula. Cras ultricies mi eu turpis hendr"/>
    <d v="2019-07-18T00:00:00"/>
    <d v="2019-07-19T00:00:00"/>
    <n v="4"/>
    <n v="7"/>
    <n v="6"/>
    <n v="0"/>
    <n v="2"/>
    <n v="1"/>
    <s v="MR"/>
    <n v="7"/>
    <n v="0"/>
    <x v="3"/>
    <n v="71"/>
    <n v="8"/>
    <x v="4"/>
  </r>
  <r>
    <n v="73"/>
    <s v="MR-73"/>
    <n v="4"/>
    <s v="Phasellus viverra nulla ut metus varius laoreet. Vestibulu"/>
    <d v="2019-07-21T00:00:00"/>
    <d v="2019-07-22T00:00:00"/>
    <n v="4"/>
    <n v="7"/>
    <n v="6"/>
    <n v="0"/>
    <n v="3"/>
    <n v="1"/>
    <s v="MR"/>
    <n v="7"/>
    <n v="0"/>
    <x v="3"/>
    <n v="73"/>
    <n v="9"/>
    <x v="3"/>
  </r>
  <r>
    <n v="75"/>
    <s v="MR-75"/>
    <n v="5"/>
    <s v="Vivamus euismod mauris. Vestibulum eu odi"/>
    <d v="2019-07-22T00:00:00"/>
    <d v="2019-08-01T00:00:00"/>
    <n v="4"/>
    <n v="8"/>
    <n v="7"/>
    <n v="0"/>
    <n v="1"/>
    <n v="1"/>
    <s v="MR"/>
    <n v="7"/>
    <n v="0"/>
    <x v="3"/>
    <n v="75"/>
    <n v="9"/>
    <x v="6"/>
  </r>
  <r>
    <n v="77"/>
    <s v="MR-77"/>
    <n v="2"/>
    <s v="Class aptent taciti sociosqu ad litora torquent per conubia nostra"/>
    <d v="2019-07-24T00:00:00"/>
    <d v="2019-07-28T00:00:00"/>
    <n v="4"/>
    <n v="5"/>
    <n v="5"/>
    <n v="0"/>
    <n v="3"/>
    <n v="1"/>
    <s v="MR"/>
    <n v="7"/>
    <n v="1"/>
    <x v="3"/>
    <n v="77"/>
    <n v="9"/>
    <x v="4"/>
  </r>
  <r>
    <n v="79"/>
    <s v="MR-79"/>
    <n v="2"/>
    <s v="Nam pretium turpis et arcu. Donec interdum, metus et hendrerit alique"/>
    <d v="2019-07-26T00:00:00"/>
    <d v="2019-08-03T00:00:00"/>
    <n v="4"/>
    <n v="4"/>
    <n v="4"/>
    <n v="0"/>
    <n v="3"/>
    <n v="2"/>
    <s v="MR"/>
    <n v="7"/>
    <n v="0"/>
    <x v="3"/>
    <n v="79"/>
    <n v="9"/>
    <x v="4"/>
  </r>
  <r>
    <n v="81"/>
    <s v="MR-81"/>
    <n v="4"/>
    <s v="Pellentesque habitant morbi"/>
    <d v="2019-07-29T00:00:00"/>
    <d v="2019-08-01T00:00:00"/>
    <n v="4"/>
    <n v="10"/>
    <n v="9"/>
    <n v="0"/>
    <n v="2"/>
    <n v="2"/>
    <s v="MR"/>
    <n v="7"/>
    <n v="0"/>
    <x v="3"/>
    <n v="81"/>
    <n v="9"/>
    <x v="1"/>
  </r>
  <r>
    <n v="83"/>
    <s v="MR-83"/>
    <n v="5"/>
    <s v="Vestibulum volutpat pretium libero. Nullam cursus lacinia erat. Morbi vestibulum volutpat enim"/>
    <d v="2019-07-31T00:00:00"/>
    <d v="2019-08-06T00:00:00"/>
    <n v="4"/>
    <n v="8"/>
    <n v="7"/>
    <n v="0"/>
    <n v="3"/>
    <n v="2"/>
    <s v="MR"/>
    <n v="7"/>
    <n v="1"/>
    <x v="3"/>
    <n v="83"/>
    <n v="9"/>
    <x v="5"/>
  </r>
  <r>
    <n v="85"/>
    <s v="MR-85"/>
    <n v="1"/>
    <s v="In auctor lobortis lacus. Etiam feugiat lo"/>
    <d v="2019-08-03T00:00:00"/>
    <d v="2019-08-04T00:00:00"/>
    <n v="4"/>
    <n v="10"/>
    <n v="9"/>
    <n v="0"/>
    <n v="3"/>
    <n v="3"/>
    <s v="MR"/>
    <n v="7"/>
    <n v="0"/>
    <x v="3"/>
    <n v="85"/>
    <n v="9"/>
    <x v="6"/>
  </r>
  <r>
    <n v="87"/>
    <s v="MR-87"/>
    <n v="2"/>
    <s v="Praesent ac sem eget est egestas volutpat. Ut non enim eleifend felis pretium feugiat. In dui magn"/>
    <d v="2019-08-06T00:00:00"/>
    <d v="2019-08-13T00:00:00"/>
    <n v="4"/>
    <n v="6"/>
    <n v="5"/>
    <n v="0"/>
    <n v="2"/>
    <n v="2"/>
    <s v="MR"/>
    <n v="7"/>
    <n v="1"/>
    <x v="4"/>
    <n v="87"/>
    <n v="10"/>
    <x v="4"/>
  </r>
  <r>
    <n v="89"/>
    <s v="MR-89"/>
    <n v="1"/>
    <s v="Nullam cursus lacinia erat. Aenean viver"/>
    <d v="2019-08-07T00:00:00"/>
    <d v="2019-08-14T00:00:00"/>
    <n v="4"/>
    <n v="9"/>
    <n v="8"/>
    <n v="0"/>
    <n v="2"/>
    <n v="2"/>
    <s v="MR"/>
    <n v="7"/>
    <n v="1"/>
    <x v="4"/>
    <n v="89"/>
    <n v="10"/>
    <x v="4"/>
  </r>
  <r>
    <n v="91"/>
    <s v="MR-91"/>
    <n v="2"/>
    <s v="Maecenas nec odio et ante tincidunt tempus. Quisque ut n"/>
    <d v="2019-08-10T00:00:00"/>
    <d v="2019-08-18T00:00:00"/>
    <n v="4"/>
    <n v="8"/>
    <n v="7"/>
    <n v="0"/>
    <n v="1"/>
    <n v="2"/>
    <s v="MR"/>
    <n v="7"/>
    <n v="0"/>
    <x v="4"/>
    <n v="91"/>
    <n v="10"/>
    <x v="6"/>
  </r>
  <r>
    <n v="93"/>
    <s v="MR-93"/>
    <n v="2"/>
    <s v="Fusce a quam. Fusce egestas elit eget lorem."/>
    <d v="2019-08-13T00:00:00"/>
    <d v="2019-08-21T00:00:00"/>
    <n v="4"/>
    <n v="10"/>
    <n v="9"/>
    <n v="0"/>
    <n v="2"/>
    <n v="3"/>
    <s v="MR"/>
    <n v="7"/>
    <n v="0"/>
    <x v="4"/>
    <n v="93"/>
    <n v="10"/>
    <x v="5"/>
  </r>
  <r>
    <n v="95"/>
    <s v="MR-95"/>
    <n v="3"/>
    <s v="Nulla facilisi. Fusce vulputate eleifend sapien. Curabitur ve"/>
    <d v="2019-08-16T00:00:00"/>
    <d v="2019-08-25T00:00:00"/>
    <n v="4"/>
    <n v="9"/>
    <n v="8"/>
    <n v="0"/>
    <n v="3"/>
    <n v="3"/>
    <s v="MR"/>
    <n v="7"/>
    <n v="1"/>
    <x v="4"/>
    <n v="95"/>
    <n v="10"/>
    <x v="6"/>
  </r>
  <r>
    <n v="97"/>
    <s v="MR-97"/>
    <n v="3"/>
    <s v="Phasellus leo dolor, tempus non, auctor et, he"/>
    <d v="2019-08-17T00:00:00"/>
    <d v="2019-08-19T00:00:00"/>
    <n v="4"/>
    <n v="5"/>
    <n v="5"/>
    <n v="0"/>
    <n v="1"/>
    <n v="1"/>
    <s v="MR"/>
    <n v="7"/>
    <n v="1"/>
    <x v="4"/>
    <n v="97"/>
    <n v="10"/>
    <x v="6"/>
  </r>
  <r>
    <n v="99"/>
    <s v="MR-99"/>
    <n v="5"/>
    <s v="Pellentesque habitant morbi tristique senectus et netus et malesuada fames ac turpis egestas. S"/>
    <d v="2019-08-19T00:00:00"/>
    <d v="2019-08-20T00:00:00"/>
    <n v="4"/>
    <n v="2"/>
    <n v="2"/>
    <n v="0"/>
    <n v="1"/>
    <n v="1"/>
    <s v="MR"/>
    <n v="7"/>
    <n v="0"/>
    <x v="4"/>
    <n v="99"/>
    <n v="10"/>
    <x v="5"/>
  </r>
  <r>
    <n v="101"/>
    <s v="MR-101"/>
    <n v="5"/>
    <s v="Donec quam felis, ultricies nec, pellentesque eu, pretium quis, sem. Eti"/>
    <d v="2019-08-20T00:00:00"/>
    <d v="2019-08-28T00:00:00"/>
    <n v="4"/>
    <n v="8"/>
    <n v="7"/>
    <n v="0"/>
    <n v="2"/>
    <n v="3"/>
    <s v="MR"/>
    <n v="8"/>
    <n v="0"/>
    <x v="4"/>
    <n v="101"/>
    <n v="10"/>
    <x v="7"/>
  </r>
  <r>
    <n v="103"/>
    <s v="MR-103"/>
    <n v="3"/>
    <s v="Cras dapibus. Curabitur ullamcorper ultricies nisi. Duis leo. Phasellus gravida semper nis"/>
    <d v="2019-08-21T00:00:00"/>
    <d v="2019-08-31T00:00:00"/>
    <n v="4"/>
    <n v="9"/>
    <n v="8"/>
    <n v="0"/>
    <n v="2"/>
    <n v="1"/>
    <s v="MR"/>
    <n v="8"/>
    <n v="1"/>
    <x v="4"/>
    <n v="103"/>
    <n v="10"/>
    <x v="7"/>
  </r>
  <r>
    <n v="105"/>
    <s v="MR-105"/>
    <n v="1"/>
    <s v="Sed cursus turpis vitae tortor. Integer ante arcu, accumsan a"/>
    <d v="2019-08-24T00:00:00"/>
    <d v="2019-08-27T00:00:00"/>
    <n v="4"/>
    <n v="10"/>
    <n v="9"/>
    <n v="0"/>
    <n v="1"/>
    <n v="2"/>
    <s v="MR"/>
    <n v="8"/>
    <n v="1"/>
    <x v="4"/>
    <n v="105"/>
    <n v="10"/>
    <x v="5"/>
  </r>
  <r>
    <n v="107"/>
    <s v="MR-107"/>
    <n v="5"/>
    <s v="Donec sodales sagittis magna. Ut varius tincidunt libero. Quisque id odio. Null"/>
    <d v="2019-08-26T00:00:00"/>
    <d v="2019-09-05T00:00:00"/>
    <n v="4"/>
    <n v="9"/>
    <n v="8"/>
    <n v="0"/>
    <n v="1"/>
    <n v="1"/>
    <s v="MR"/>
    <n v="8"/>
    <n v="0"/>
    <x v="4"/>
    <n v="107"/>
    <n v="10"/>
    <x v="8"/>
  </r>
  <r>
    <n v="109"/>
    <s v="MR-109"/>
    <n v="3"/>
    <s v="Sed in libero ut nibh placerat"/>
    <d v="2019-08-27T00:00:00"/>
    <d v="2019-09-02T00:00:00"/>
    <n v="4"/>
    <n v="3"/>
    <n v="3"/>
    <n v="0"/>
    <n v="2"/>
    <n v="1"/>
    <s v="MR"/>
    <n v="8"/>
    <n v="0"/>
    <x v="4"/>
    <n v="109"/>
    <n v="10"/>
    <x v="8"/>
  </r>
  <r>
    <n v="111"/>
    <s v="MR-111"/>
    <n v="4"/>
    <s v="Vestibulum rutrum, mi nec ele"/>
    <d v="2019-08-30T00:00:00"/>
    <d v="2019-08-31T00:00:00"/>
    <n v="4"/>
    <n v="10"/>
    <n v="9"/>
    <n v="0"/>
    <n v="2"/>
    <n v="3"/>
    <s v="MR"/>
    <n v="8"/>
    <n v="0"/>
    <x v="4"/>
    <n v="111"/>
    <n v="10"/>
    <x v="6"/>
  </r>
  <r>
    <n v="113"/>
    <s v="MR-113"/>
    <n v="4"/>
    <s v="Praesent metus tellus, elementum eu, semper a, adipiscing"/>
    <d v="2019-09-02T00:00:00"/>
    <d v="2019-09-03T00:00:00"/>
    <n v="4"/>
    <n v="1"/>
    <n v="1"/>
    <n v="0"/>
    <n v="3"/>
    <n v="3"/>
    <s v="MR"/>
    <n v="8"/>
    <n v="1"/>
    <x v="4"/>
    <n v="113"/>
    <n v="10"/>
    <x v="8"/>
  </r>
  <r>
    <n v="115"/>
    <s v="MR-115"/>
    <n v="5"/>
    <s v="In hac habitasse platea dictumst. Nulla porta dolor. Suspendisse feugiat. Morbi vestibulum volutpat"/>
    <d v="2019-09-03T00:00:00"/>
    <d v="2019-09-04T00:00:00"/>
    <n v="4"/>
    <n v="3"/>
    <n v="3"/>
    <n v="0"/>
    <n v="1"/>
    <n v="3"/>
    <s v="MR"/>
    <n v="8"/>
    <n v="1"/>
    <x v="4"/>
    <n v="115"/>
    <n v="10"/>
    <x v="7"/>
  </r>
  <r>
    <n v="117"/>
    <s v="MR-117"/>
    <n v="3"/>
    <s v="Vestibulum ullamcorper mauris a"/>
    <d v="2019-09-05T00:00:00"/>
    <d v="2019-09-15T00:00:00"/>
    <n v="4"/>
    <n v="5"/>
    <n v="5"/>
    <n v="0"/>
    <n v="3"/>
    <n v="3"/>
    <s v="MR"/>
    <n v="8"/>
    <n v="0"/>
    <x v="5"/>
    <n v="117"/>
    <n v="11"/>
    <x v="9"/>
  </r>
  <r>
    <n v="119"/>
    <s v="MR-119"/>
    <n v="1"/>
    <s v="Ut varius tincidunt libero. Nullam sagittis. Praesent ut ligula no"/>
    <d v="2019-09-07T00:00:00"/>
    <d v="2019-09-12T00:00:00"/>
    <n v="4"/>
    <n v="9"/>
    <n v="8"/>
    <n v="0"/>
    <n v="1"/>
    <n v="2"/>
    <s v="MR"/>
    <n v="8"/>
    <n v="0"/>
    <x v="5"/>
    <n v="119"/>
    <n v="11"/>
    <x v="8"/>
  </r>
  <r>
    <n v="121"/>
    <s v="MR-121"/>
    <n v="3"/>
    <s v="Nulla facilisi. Proin magna. Ut a nisl id ante tempus hendrerit. Praesent blandit laoreet n"/>
    <d v="2019-09-10T00:00:00"/>
    <d v="2019-09-17T00:00:00"/>
    <n v="4"/>
    <n v="10"/>
    <n v="9"/>
    <n v="0"/>
    <n v="1"/>
    <n v="3"/>
    <s v="MR"/>
    <n v="8"/>
    <n v="1"/>
    <x v="5"/>
    <n v="121"/>
    <n v="11"/>
    <x v="8"/>
  </r>
  <r>
    <n v="123"/>
    <s v="MR-123"/>
    <n v="3"/>
    <s v="Suspendisse potenti. Praesent vestibulum dapib"/>
    <d v="2019-09-12T00:00:00"/>
    <d v="2019-09-21T00:00:00"/>
    <n v="3"/>
    <n v="6"/>
    <n v="5"/>
    <n v="5"/>
    <n v="3"/>
    <n v="3"/>
    <s v="MR"/>
    <n v="8"/>
    <n v="0"/>
    <x v="5"/>
    <n v="123"/>
    <n v="11"/>
    <x v="5"/>
  </r>
  <r>
    <n v="125"/>
    <s v="MR-125"/>
    <n v="5"/>
    <s v="Nullam dictum felis eu pede mollis pretium. Quisque id mi. Pellentesque egestas, neque"/>
    <d v="2019-09-15T00:00:00"/>
    <d v="2019-09-25T00:00:00"/>
    <n v="3"/>
    <n v="1"/>
    <n v="1"/>
    <n v="0"/>
    <n v="3"/>
    <n v="3"/>
    <s v="MR"/>
    <n v="8"/>
    <n v="0"/>
    <x v="5"/>
    <n v="125"/>
    <n v="11"/>
    <x v="6"/>
  </r>
  <r>
    <n v="127"/>
    <s v="MR-127"/>
    <n v="2"/>
    <s v="Class aptent taciti sociosqu ad litora torquent per conubia nostra, per inceptos h"/>
    <d v="2019-09-17T00:00:00"/>
    <d v="2019-09-26T00:00:00"/>
    <n v="3"/>
    <n v="1"/>
    <n v="1"/>
    <n v="0"/>
    <n v="2"/>
    <n v="3"/>
    <s v="MR"/>
    <n v="8"/>
    <n v="0"/>
    <x v="5"/>
    <n v="127"/>
    <n v="11"/>
    <x v="6"/>
  </r>
  <r>
    <n v="129"/>
    <s v="MR-129"/>
    <n v="1"/>
    <s v="Pellentesque ut neque. Suspendisse eu ligula. Donec interdum, metus et hendrerit aliquet, dolor"/>
    <d v="2019-09-19T00:00:00"/>
    <d v="2019-09-22T00:00:00"/>
    <n v="3"/>
    <n v="9"/>
    <n v="8"/>
    <n v="6"/>
    <n v="2"/>
    <n v="3"/>
    <s v="MR"/>
    <n v="9"/>
    <n v="1"/>
    <x v="5"/>
    <n v="129"/>
    <n v="11"/>
    <x v="8"/>
  </r>
  <r>
    <n v="131"/>
    <s v="MR-131"/>
    <n v="1"/>
    <s v="Phasellus accumsan cursus velit. Etiam sit amet orci eget eros faucibus tincidunt. Done"/>
    <d v="2019-09-20T00:00:00"/>
    <d v="2019-09-22T00:00:00"/>
    <n v="3"/>
    <n v="6"/>
    <n v="5"/>
    <n v="4"/>
    <n v="2"/>
    <n v="1"/>
    <s v="MR"/>
    <n v="9"/>
    <n v="0"/>
    <x v="5"/>
    <n v="131"/>
    <n v="11"/>
    <x v="5"/>
  </r>
  <r>
    <n v="133"/>
    <s v="MR-133"/>
    <n v="4"/>
    <s v="Duis leo. Class aptent taciti sociosqu ad litora torquent p"/>
    <d v="2019-09-23T00:00:00"/>
    <d v="2019-10-02T00:00:00"/>
    <n v="3"/>
    <n v="10"/>
    <n v="9"/>
    <n v="5"/>
    <n v="3"/>
    <n v="1"/>
    <s v="MR"/>
    <n v="9"/>
    <n v="1"/>
    <x v="5"/>
    <n v="133"/>
    <n v="11"/>
    <x v="8"/>
  </r>
  <r>
    <n v="135"/>
    <s v="MR-135"/>
    <n v="2"/>
    <s v="Proin magna. Praesent porttitor, nulla vitae posuere iaculis, arcu nisl digni"/>
    <d v="2019-09-26T00:00:00"/>
    <d v="2019-10-04T00:00:00"/>
    <n v="2"/>
    <n v="3"/>
    <n v="3"/>
    <n v="3"/>
    <n v="3"/>
    <n v="3"/>
    <s v="MR"/>
    <n v="9"/>
    <n v="0"/>
    <x v="5"/>
    <n v="135"/>
    <n v="11"/>
    <x v="8"/>
  </r>
  <r>
    <n v="137"/>
    <s v="MR-137"/>
    <n v="5"/>
    <s v="Vivamus quis mi. Donec id justo. Aenean commod"/>
    <d v="2019-09-27T00:00:00"/>
    <d v="2019-10-02T00:00:00"/>
    <n v="2"/>
    <n v="9"/>
    <n v="8"/>
    <n v="9"/>
    <n v="2"/>
    <n v="2"/>
    <s v="MR"/>
    <n v="9"/>
    <n v="0"/>
    <x v="5"/>
    <n v="137"/>
    <n v="11"/>
    <x v="8"/>
  </r>
  <r>
    <n v="139"/>
    <s v="MR-139"/>
    <n v="3"/>
    <s v="Vestibulum ante ipsum primis in faucibus orci luctus et ul"/>
    <d v="2019-09-29T00:00:00"/>
    <d v="2019-10-02T00:00:00"/>
    <n v="2"/>
    <n v="9"/>
    <n v="8"/>
    <n v="9"/>
    <n v="1"/>
    <n v="1"/>
    <s v="MR"/>
    <n v="9"/>
    <n v="1"/>
    <x v="5"/>
    <n v="139"/>
    <n v="11"/>
    <x v="5"/>
  </r>
  <r>
    <n v="141"/>
    <s v="MR-141"/>
    <n v="2"/>
    <s v="Sed a libero. Suspendisse faucibus, nunc et pellentesque eg"/>
    <d v="2019-10-01T00:00:00"/>
    <d v="2019-10-06T00:00:00"/>
    <n v="2"/>
    <n v="7"/>
    <n v="6"/>
    <n v="7"/>
    <n v="1"/>
    <n v="2"/>
    <s v="MR"/>
    <n v="9"/>
    <n v="1"/>
    <x v="6"/>
    <n v="141"/>
    <n v="11"/>
    <x v="6"/>
  </r>
  <r>
    <n v="143"/>
    <s v="MR-143"/>
    <n v="1"/>
    <s v="Ut leo. Praesent nonummy mi in odio. Praesent ac massa"/>
    <d v="2019-10-03T00:00:00"/>
    <d v="2019-10-09T00:00:00"/>
    <n v="2"/>
    <n v="4"/>
    <n v="4"/>
    <n v="4"/>
    <n v="1"/>
    <n v="2"/>
    <s v="MR"/>
    <n v="9"/>
    <n v="0"/>
    <x v="6"/>
    <n v="143"/>
    <n v="11"/>
    <x v="8"/>
  </r>
  <r>
    <n v="145"/>
    <s v="MR-145"/>
    <n v="5"/>
    <s v="Praesent egestas neque eu enim. Aenean"/>
    <d v="2019-10-06T00:00:00"/>
    <d v="2019-10-14T00:00:00"/>
    <n v="2"/>
    <n v="9"/>
    <n v="8"/>
    <n v="9"/>
    <n v="2"/>
    <n v="2"/>
    <s v="MR"/>
    <n v="9"/>
    <n v="0"/>
    <x v="6"/>
    <n v="145"/>
    <n v="11"/>
    <x v="8"/>
  </r>
  <r>
    <n v="147"/>
    <s v="MR-147"/>
    <n v="1"/>
    <s v="Nam adipiscing. Aenean viverra rhoncus pede. Nunc nonummy metus. Duis vel nibh at velit sceleris"/>
    <d v="2019-10-07T00:00:00"/>
    <d v="2019-10-12T00:00:00"/>
    <n v="2"/>
    <n v="2"/>
    <n v="2"/>
    <n v="2"/>
    <n v="1"/>
    <n v="1"/>
    <s v="MR"/>
    <n v="9"/>
    <n v="0"/>
    <x v="6"/>
    <n v="147"/>
    <n v="11"/>
    <x v="6"/>
  </r>
  <r>
    <n v="149"/>
    <s v="MR-149"/>
    <n v="5"/>
    <s v="Pellentesque dapibus hendrerit"/>
    <d v="2019-10-10T00:00:00"/>
    <d v="2019-10-17T00:00:00"/>
    <n v="2"/>
    <n v="7"/>
    <n v="6"/>
    <n v="7"/>
    <n v="1"/>
    <n v="3"/>
    <s v="MR"/>
    <n v="9"/>
    <n v="0"/>
    <x v="6"/>
    <n v="149"/>
    <n v="11"/>
    <x v="6"/>
  </r>
  <r>
    <n v="151"/>
    <s v="MR-151"/>
    <n v="4"/>
    <s v="Phasellus consectetuer vestibulum elit. Fusce egestas elit eget lorem"/>
    <d v="2019-10-12T00:00:00"/>
    <d v="2019-10-17T00:00:00"/>
    <n v="2"/>
    <n v="7"/>
    <n v="6"/>
    <n v="7"/>
    <n v="2"/>
    <n v="1"/>
    <s v="MR"/>
    <n v="9"/>
    <n v="1"/>
    <x v="6"/>
    <n v="151"/>
    <n v="12"/>
    <x v="8"/>
  </r>
  <r>
    <n v="153"/>
    <s v="MR-153"/>
    <n v="5"/>
    <s v="Donec venenatis vulputate lorem. Proin vi"/>
    <d v="2019-10-13T00:00:00"/>
    <d v="2019-10-23T00:00:00"/>
    <n v="2"/>
    <n v="9"/>
    <n v="8"/>
    <n v="9"/>
    <n v="1"/>
    <n v="2"/>
    <s v="MR"/>
    <n v="9"/>
    <n v="1"/>
    <x v="6"/>
    <n v="153"/>
    <n v="12"/>
    <x v="9"/>
  </r>
  <r>
    <n v="155"/>
    <s v="MR-155"/>
    <n v="4"/>
    <s v="Fusce commodo aliquam arcu. Phasellus blandit leo ut odio. Nulla sit amet"/>
    <d v="2019-10-15T00:00:00"/>
    <d v="2019-10-16T00:00:00"/>
    <n v="2"/>
    <n v="6"/>
    <n v="5"/>
    <n v="6"/>
    <n v="1"/>
    <n v="1"/>
    <s v="MR"/>
    <n v="9"/>
    <n v="1"/>
    <x v="6"/>
    <n v="155"/>
    <n v="12"/>
    <x v="5"/>
  </r>
  <r>
    <n v="157"/>
    <s v="MR-157"/>
    <n v="1"/>
    <s v="Nulla porta dolor. Praesent nec nisl a pu"/>
    <d v="2019-10-16T00:00:00"/>
    <d v="2019-10-18T00:00:00"/>
    <n v="2"/>
    <n v="7"/>
    <n v="6"/>
    <n v="7"/>
    <n v="3"/>
    <n v="1"/>
    <s v="MR"/>
    <n v="9"/>
    <n v="0"/>
    <x v="6"/>
    <n v="157"/>
    <n v="12"/>
    <x v="5"/>
  </r>
  <r>
    <n v="159"/>
    <s v="MR-159"/>
    <n v="2"/>
    <s v="Suspendisse pulvinar, augue ac venenatis condimentum, sem libero volutpat"/>
    <d v="2019-10-19T00:00:00"/>
    <d v="2019-10-23T00:00:00"/>
    <n v="2"/>
    <n v="8"/>
    <n v="7"/>
    <n v="8"/>
    <n v="3"/>
    <n v="1"/>
    <s v="MR"/>
    <n v="9"/>
    <n v="1"/>
    <x v="6"/>
    <n v="159"/>
    <n v="12"/>
    <x v="7"/>
  </r>
  <r>
    <n v="161"/>
    <s v="MR-161"/>
    <n v="1"/>
    <s v="Nunc interdum lacus sit amet orci. Aliquam lobortis. Vestibulum rutrum, mi n"/>
    <d v="2019-10-20T00:00:00"/>
    <d v="2019-10-26T00:00:00"/>
    <n v="2"/>
    <n v="6"/>
    <n v="5"/>
    <n v="6"/>
    <n v="3"/>
    <n v="2"/>
    <s v="MR"/>
    <n v="9"/>
    <n v="0"/>
    <x v="6"/>
    <n v="161"/>
    <n v="12"/>
    <x v="9"/>
  </r>
  <r>
    <n v="163"/>
    <s v="MR-163"/>
    <n v="3"/>
    <s v="Etiam feugiat lorem non metus."/>
    <d v="2019-10-23T00:00:00"/>
    <d v="2019-10-31T00:00:00"/>
    <n v="2"/>
    <n v="5"/>
    <n v="5"/>
    <n v="5"/>
    <n v="1"/>
    <n v="2"/>
    <s v="MR"/>
    <n v="9"/>
    <n v="0"/>
    <x v="6"/>
    <n v="163"/>
    <n v="12"/>
    <x v="6"/>
  </r>
  <r>
    <n v="165"/>
    <s v="MR-165"/>
    <n v="2"/>
    <s v="Fusce risus nisl, viverra et, tem"/>
    <d v="2019-10-26T00:00:00"/>
    <d v="2019-10-29T00:00:00"/>
    <n v="2"/>
    <n v="2"/>
    <n v="2"/>
    <n v="2"/>
    <n v="1"/>
    <n v="3"/>
    <s v="MR"/>
    <n v="10"/>
    <n v="0"/>
    <x v="7"/>
    <n v="165"/>
    <n v="13"/>
    <x v="9"/>
  </r>
  <r>
    <n v="167"/>
    <s v="MR-167"/>
    <n v="5"/>
    <s v="Vestibulum dapibus nunc ac augue. Cura"/>
    <d v="2019-10-28T00:00:00"/>
    <d v="2019-11-03T00:00:00"/>
    <n v="2"/>
    <n v="7"/>
    <n v="6"/>
    <n v="7"/>
    <n v="2"/>
    <n v="1"/>
    <s v="MR"/>
    <n v="10"/>
    <n v="0"/>
    <x v="7"/>
    <n v="167"/>
    <n v="13"/>
    <x v="7"/>
  </r>
  <r>
    <n v="169"/>
    <s v="MR-169"/>
    <n v="3"/>
    <s v="Vestibulum ante ipsum primis in faucibus orci luctus et ultrices posuere cubilia"/>
    <d v="2019-10-30T00:00:00"/>
    <d v="2019-11-04T00:00:00"/>
    <n v="2"/>
    <n v="2"/>
    <n v="2"/>
    <n v="2"/>
    <n v="3"/>
    <n v="3"/>
    <s v="MR"/>
    <n v="10"/>
    <n v="1"/>
    <x v="7"/>
    <n v="169"/>
    <n v="13"/>
    <x v="10"/>
  </r>
  <r>
    <n v="171"/>
    <s v="MR-171"/>
    <n v="5"/>
    <s v="Etiam rhoncus. Quisque id mi. Fusce pharetra co"/>
    <d v="2019-10-31T00:00:00"/>
    <d v="2019-11-07T00:00:00"/>
    <n v="2"/>
    <n v="7"/>
    <n v="6"/>
    <n v="7"/>
    <n v="2"/>
    <n v="3"/>
    <s v="MR"/>
    <n v="10"/>
    <n v="0"/>
    <x v="7"/>
    <n v="171"/>
    <n v="13"/>
    <x v="11"/>
  </r>
  <r>
    <n v="173"/>
    <s v="MR-173"/>
    <n v="5"/>
    <s v="Vivamus laoreet. Suspendisse potenti."/>
    <d v="2019-11-02T00:00:00"/>
    <d v="2019-11-08T00:00:00"/>
    <n v="2"/>
    <n v="7"/>
    <n v="6"/>
    <n v="7"/>
    <n v="1"/>
    <n v="2"/>
    <s v="MR"/>
    <n v="10"/>
    <n v="0"/>
    <x v="7"/>
    <n v="173"/>
    <n v="13"/>
    <x v="10"/>
  </r>
  <r>
    <n v="175"/>
    <s v="MR-175"/>
    <n v="2"/>
    <s v="Vestibulum ante ipsum primis in faucibus orci luctus e"/>
    <d v="2019-11-03T00:00:00"/>
    <d v="2019-11-06T00:00:00"/>
    <n v="2"/>
    <n v="4"/>
    <n v="4"/>
    <n v="4"/>
    <n v="3"/>
    <n v="1"/>
    <s v="MR"/>
    <n v="10"/>
    <n v="1"/>
    <x v="7"/>
    <n v="175"/>
    <n v="13"/>
    <x v="11"/>
  </r>
  <r>
    <n v="177"/>
    <s v="MR-177"/>
    <n v="3"/>
    <s v="Praesent blandit laoreet nibh. Donec vitae orci sed dolor rutrum auctor. Donec"/>
    <d v="2019-11-04T00:00:00"/>
    <d v="2019-11-13T00:00:00"/>
    <n v="2"/>
    <n v="4"/>
    <n v="4"/>
    <n v="4"/>
    <n v="3"/>
    <n v="3"/>
    <s v="MR"/>
    <n v="10"/>
    <n v="0"/>
    <x v="7"/>
    <n v="177"/>
    <n v="13"/>
    <x v="8"/>
  </r>
  <r>
    <n v="179"/>
    <s v="MR-179"/>
    <n v="2"/>
    <s v="Donec mi odio, faucibus at, scelerisque quis, convalli"/>
    <d v="2019-11-07T00:00:00"/>
    <d v="2019-11-16T00:00:00"/>
    <n v="2"/>
    <n v="9"/>
    <n v="8"/>
    <n v="9"/>
    <n v="3"/>
    <n v="1"/>
    <s v="MR"/>
    <n v="10"/>
    <n v="0"/>
    <x v="7"/>
    <n v="179"/>
    <n v="13"/>
    <x v="10"/>
  </r>
  <r>
    <n v="181"/>
    <s v="MR-181"/>
    <n v="5"/>
    <s v="Sed augue ipsum, egestas nec, vestibulum et, malesuada adipiscing, dui. Phas"/>
    <d v="2019-11-08T00:00:00"/>
    <d v="2019-11-15T00:00:00"/>
    <n v="1"/>
    <n v="4"/>
    <n v="4"/>
    <n v="4"/>
    <n v="1"/>
    <n v="1"/>
    <s v="MR"/>
    <n v="10"/>
    <n v="1"/>
    <x v="7"/>
    <n v="181"/>
    <n v="13"/>
    <x v="9"/>
  </r>
  <r>
    <n v="183"/>
    <s v="MR-183"/>
    <n v="4"/>
    <s v="Suspendisse feugiat. Curabitur ullamcorper ultricies ni"/>
    <d v="2019-11-09T00:00:00"/>
    <d v="2019-11-12T00:00:00"/>
    <n v="1"/>
    <n v="1"/>
    <n v="1"/>
    <n v="1"/>
    <n v="1"/>
    <n v="1"/>
    <s v="MR"/>
    <n v="10"/>
    <n v="0"/>
    <x v="7"/>
    <n v="183"/>
    <n v="13"/>
    <x v="10"/>
  </r>
  <r>
    <n v="185"/>
    <s v="MR-185"/>
    <n v="1"/>
    <s v="Pellentesque habitant morbi tristique senectus et netus et malesuada fames ac turpis egestas."/>
    <d v="2019-11-12T00:00:00"/>
    <d v="2019-11-14T00:00:00"/>
    <n v="1"/>
    <n v="4"/>
    <n v="4"/>
    <n v="4"/>
    <n v="3"/>
    <n v="3"/>
    <s v="MR"/>
    <n v="10"/>
    <n v="1"/>
    <x v="7"/>
    <n v="185"/>
    <n v="13"/>
    <x v="9"/>
  </r>
  <r>
    <n v="187"/>
    <s v="MR-187"/>
    <n v="3"/>
    <s v="Ut leo. Suspendisse feugiat. Fusce convallis metu"/>
    <d v="2019-11-15T00:00:00"/>
    <d v="2019-11-19T00:00:00"/>
    <n v="1"/>
    <n v="8"/>
    <n v="7"/>
    <n v="8"/>
    <n v="2"/>
    <n v="1"/>
    <s v="MR"/>
    <n v="10"/>
    <n v="1"/>
    <x v="7"/>
    <n v="187"/>
    <n v="13"/>
    <x v="11"/>
  </r>
  <r>
    <n v="189"/>
    <s v="MR-189"/>
    <n v="5"/>
    <s v="Vestibulum rutrum, mi nec elementum vehicula, eros quam gravida nisl, id fringilla neque ante vel m"/>
    <d v="2019-11-16T00:00:00"/>
    <d v="2019-11-25T00:00:00"/>
    <n v="1"/>
    <n v="3"/>
    <n v="3"/>
    <n v="3"/>
    <n v="2"/>
    <n v="1"/>
    <s v="MR"/>
    <n v="10"/>
    <n v="0"/>
    <x v="7"/>
    <n v="189"/>
    <n v="13"/>
    <x v="8"/>
  </r>
  <r>
    <n v="191"/>
    <s v="MR-191"/>
    <n v="3"/>
    <s v="Duis leo. Morbi mollis tellus ac sapien. Nam ipsum risus, rutrum vitae, vestibulum eu, molestie"/>
    <d v="2019-11-19T00:00:00"/>
    <d v="2019-11-22T00:00:00"/>
    <n v="1"/>
    <n v="9"/>
    <n v="8"/>
    <n v="9"/>
    <n v="3"/>
    <n v="2"/>
    <s v="MR"/>
    <n v="10"/>
    <n v="1"/>
    <x v="7"/>
    <n v="191"/>
    <n v="13"/>
    <x v="9"/>
  </r>
  <r>
    <n v="193"/>
    <s v="MR-193"/>
    <n v="2"/>
    <s v="Vivamus laoreet. Donec quam felis, ultricies nec, pellentesque eu, pretium qu"/>
    <d v="2019-11-20T00:00:00"/>
    <d v="2019-11-28T00:00:00"/>
    <n v="1"/>
    <n v="5"/>
    <n v="5"/>
    <n v="5"/>
    <n v="2"/>
    <n v="2"/>
    <s v="MR"/>
    <n v="10"/>
    <n v="1"/>
    <x v="7"/>
    <n v="193"/>
    <n v="13"/>
    <x v="11"/>
  </r>
  <r>
    <n v="195"/>
    <s v="MR-195"/>
    <n v="1"/>
    <s v="Fusce commodo aliquam arcu. Phasellus"/>
    <d v="2019-11-23T00:00:00"/>
    <d v="2019-11-27T00:00:00"/>
    <n v="1"/>
    <n v="5"/>
    <n v="5"/>
    <n v="5"/>
    <n v="3"/>
    <n v="1"/>
    <s v="MR"/>
    <n v="10"/>
    <n v="0"/>
    <x v="7"/>
    <n v="195"/>
    <n v="13"/>
    <x v="11"/>
  </r>
  <r>
    <n v="197"/>
    <s v="MR-197"/>
    <n v="5"/>
    <s v="Curabitur suscipit suscipit tellus. Nullam accumsan lorem in"/>
    <d v="2019-11-24T00:00:00"/>
    <d v="2019-11-27T00:00:00"/>
    <n v="1"/>
    <n v="9"/>
    <n v="8"/>
    <n v="9"/>
    <n v="2"/>
    <n v="2"/>
    <s v="MR"/>
    <n v="10"/>
    <n v="0"/>
    <x v="7"/>
    <n v="197"/>
    <n v="13"/>
    <x v="8"/>
  </r>
  <r>
    <m/>
    <m/>
    <m/>
    <m/>
    <m/>
    <m/>
    <m/>
    <m/>
    <m/>
    <m/>
    <m/>
    <m/>
    <m/>
    <m/>
    <m/>
    <x v="8"/>
    <m/>
    <m/>
    <x v="12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">
  <r>
    <n v="2"/>
    <s v="MR-2"/>
    <n v="1"/>
    <s v="Ut id nisl quis enim dignissim sagi"/>
    <d v="2019-05-03T00:00:00"/>
    <d v="2019-05-09T00:00:00"/>
    <n v="4"/>
    <n v="9"/>
    <n v="8"/>
    <n v="0"/>
    <n v="6"/>
    <n v="2"/>
    <s v="MR"/>
    <n v="5"/>
    <n v="0"/>
    <x v="0"/>
    <n v="2"/>
    <n v="7"/>
    <x v="0"/>
  </r>
  <r>
    <n v="4"/>
    <s v="MR-4"/>
    <n v="3"/>
    <s v="Nam eget dui. Class aptent taciti sociosqu ad litora torquent per conubia nostra, per i"/>
    <d v="2019-05-04T00:00:00"/>
    <d v="2019-05-11T00:00:00"/>
    <n v="4"/>
    <n v="5"/>
    <n v="5"/>
    <n v="0"/>
    <n v="6"/>
    <n v="3"/>
    <s v="MR"/>
    <n v="5"/>
    <n v="0"/>
    <x v="0"/>
    <n v="4"/>
    <n v="7"/>
    <x v="1"/>
  </r>
  <r>
    <n v="6"/>
    <s v="MR-6"/>
    <n v="3"/>
    <s v="Sed hendrerit. Sed augue ipsum, egestas nec,"/>
    <d v="2019-05-06T00:00:00"/>
    <d v="2019-05-12T00:00:00"/>
    <n v="4"/>
    <n v="2"/>
    <n v="2"/>
    <n v="0"/>
    <n v="4"/>
    <n v="2"/>
    <s v="MR"/>
    <n v="5"/>
    <n v="0"/>
    <x v="0"/>
    <n v="6"/>
    <n v="7"/>
    <x v="2"/>
  </r>
  <r>
    <n v="8"/>
    <s v="MR-8"/>
    <n v="1"/>
    <s v="Sed mollis, eros et ultrices tempus, mauris ipsum aliquam libero, non adipisc"/>
    <d v="2019-05-09T00:00:00"/>
    <d v="2019-05-18T00:00:00"/>
    <n v="4"/>
    <n v="10"/>
    <n v="9"/>
    <n v="0"/>
    <n v="5"/>
    <n v="2"/>
    <s v="MR"/>
    <n v="5"/>
    <n v="0"/>
    <x v="0"/>
    <n v="8"/>
    <n v="7"/>
    <x v="2"/>
  </r>
  <r>
    <n v="10"/>
    <s v="MR-10"/>
    <n v="1"/>
    <s v="Etiam feugiat lorem non m"/>
    <d v="2019-05-11T00:00:00"/>
    <d v="2019-05-14T00:00:00"/>
    <n v="4"/>
    <n v="7"/>
    <n v="6"/>
    <n v="0"/>
    <n v="4"/>
    <n v="3"/>
    <s v="MR"/>
    <n v="5"/>
    <n v="0"/>
    <x v="0"/>
    <n v="10"/>
    <n v="7"/>
    <x v="2"/>
  </r>
  <r>
    <n v="12"/>
    <s v="MR-12"/>
    <n v="5"/>
    <s v="Maecenas tempus, tellus eget condimentum rhoncus, sem q"/>
    <d v="2019-05-12T00:00:00"/>
    <d v="2019-05-19T00:00:00"/>
    <n v="4"/>
    <n v="4"/>
    <n v="4"/>
    <n v="0"/>
    <n v="6"/>
    <n v="2"/>
    <s v="MR"/>
    <n v="5"/>
    <n v="0"/>
    <x v="0"/>
    <n v="12"/>
    <n v="7"/>
    <x v="3"/>
  </r>
  <r>
    <n v="14"/>
    <s v="MR-14"/>
    <n v="4"/>
    <s v="Nullam nulla eros, ultricies sit amet, nonummy id,"/>
    <d v="2019-05-15T00:00:00"/>
    <d v="2019-05-16T00:00:00"/>
    <n v="4"/>
    <n v="10"/>
    <n v="9"/>
    <n v="0"/>
    <n v="6"/>
    <n v="3"/>
    <s v="MR"/>
    <n v="5"/>
    <n v="1"/>
    <x v="0"/>
    <n v="14"/>
    <n v="7"/>
    <x v="2"/>
  </r>
  <r>
    <n v="16"/>
    <s v="MR-16"/>
    <n v="4"/>
    <s v="Donec posuere vulputate arcu. Suspendisse eu ligula. Praesent blandit laoreet nibh. Mauris t"/>
    <d v="2019-05-17T00:00:00"/>
    <d v="2019-05-20T00:00:00"/>
    <n v="4"/>
    <n v="2"/>
    <n v="2"/>
    <n v="0"/>
    <n v="4"/>
    <n v="3"/>
    <s v="MR"/>
    <n v="5"/>
    <n v="0"/>
    <x v="0"/>
    <n v="16"/>
    <n v="7"/>
    <x v="2"/>
  </r>
  <r>
    <n v="18"/>
    <s v="MR-18"/>
    <n v="1"/>
    <s v="Nullam quis ante. Praesent vestibulum dapibus nibh. Ut id nisl quis enim dignissim sagittis"/>
    <d v="2019-05-20T00:00:00"/>
    <d v="2019-05-27T00:00:00"/>
    <n v="4"/>
    <n v="2"/>
    <n v="2"/>
    <n v="0"/>
    <n v="5"/>
    <n v="1"/>
    <s v="MR"/>
    <n v="5"/>
    <n v="0"/>
    <x v="0"/>
    <n v="18"/>
    <n v="7"/>
    <x v="3"/>
  </r>
  <r>
    <n v="20"/>
    <s v="MR-20"/>
    <n v="5"/>
    <s v="Nam commodo suscipit quam. In turpis. Maecenas nec odio et ante tincidunt tempus. Nulla neque"/>
    <d v="2019-05-23T00:00:00"/>
    <d v="2019-05-31T00:00:00"/>
    <n v="4"/>
    <n v="10"/>
    <n v="9"/>
    <n v="0"/>
    <n v="6"/>
    <n v="1"/>
    <s v="MR"/>
    <n v="5"/>
    <n v="1"/>
    <x v="0"/>
    <n v="20"/>
    <n v="7"/>
    <x v="3"/>
  </r>
  <r>
    <n v="22"/>
    <s v="MR-22"/>
    <n v="3"/>
    <s v="Quisque libero metus, condimentum nec, tempor a, commodo mollis, magna. Nullam quis ante. Cr"/>
    <d v="2019-05-24T00:00:00"/>
    <d v="2019-05-27T00:00:00"/>
    <n v="4"/>
    <n v="10"/>
    <n v="9"/>
    <n v="0"/>
    <n v="5"/>
    <n v="1"/>
    <s v="MR"/>
    <n v="5"/>
    <n v="0"/>
    <x v="0"/>
    <n v="22"/>
    <n v="7"/>
    <x v="2"/>
  </r>
  <r>
    <n v="24"/>
    <s v="MR-24"/>
    <n v="2"/>
    <s v="Cum sociis natoque penatibus et magnis dis parturient montes, nascetur ridiculu"/>
    <d v="2019-05-27T00:00:00"/>
    <d v="2019-06-02T00:00:00"/>
    <n v="4"/>
    <n v="6"/>
    <n v="5"/>
    <n v="0"/>
    <n v="6"/>
    <n v="3"/>
    <s v="MR"/>
    <n v="5"/>
    <n v="0"/>
    <x v="0"/>
    <n v="24"/>
    <n v="7"/>
    <x v="0"/>
  </r>
  <r>
    <n v="26"/>
    <s v="MR-26"/>
    <n v="1"/>
    <s v="Curabitur at lacus ac velit ornare lobortis. Duis vel nibh at velit sce"/>
    <d v="2019-05-28T00:00:00"/>
    <d v="2019-06-01T00:00:00"/>
    <n v="4"/>
    <n v="9"/>
    <n v="8"/>
    <n v="0"/>
    <n v="4"/>
    <n v="3"/>
    <s v="MR"/>
    <n v="5"/>
    <n v="0"/>
    <x v="0"/>
    <n v="26"/>
    <n v="7"/>
    <x v="2"/>
  </r>
  <r>
    <n v="28"/>
    <s v="MR-28"/>
    <n v="5"/>
    <s v="Ut id nisl quis enim dignissim sagittis. Donec posuere vulputate ar"/>
    <d v="2019-05-31T00:00:00"/>
    <d v="2019-06-06T00:00:00"/>
    <n v="4"/>
    <n v="5"/>
    <n v="5"/>
    <n v="0"/>
    <n v="4"/>
    <n v="3"/>
    <s v="MR"/>
    <n v="5"/>
    <n v="0"/>
    <x v="1"/>
    <n v="28"/>
    <n v="7"/>
    <x v="3"/>
  </r>
  <r>
    <n v="30"/>
    <s v="MR-30"/>
    <n v="2"/>
    <s v="Integer tincidunt. Etiam ultricies nisi vel"/>
    <d v="2019-06-03T00:00:00"/>
    <d v="2019-06-11T00:00:00"/>
    <n v="4"/>
    <n v="3"/>
    <n v="3"/>
    <n v="0"/>
    <n v="4"/>
    <n v="2"/>
    <s v="MR"/>
    <n v="5"/>
    <n v="0"/>
    <x v="1"/>
    <n v="30"/>
    <n v="7"/>
    <x v="0"/>
  </r>
  <r>
    <n v="32"/>
    <s v="MR-32"/>
    <n v="5"/>
    <s v="Aliquam erat volutpat. Sed hendrerit. Praesent vestibulum dapibus nibh. M"/>
    <d v="2019-06-06T00:00:00"/>
    <d v="2019-06-07T00:00:00"/>
    <n v="4"/>
    <n v="8"/>
    <n v="7"/>
    <n v="0"/>
    <n v="4"/>
    <n v="2"/>
    <s v="MR"/>
    <n v="5"/>
    <n v="1"/>
    <x v="1"/>
    <n v="32"/>
    <n v="7"/>
    <x v="4"/>
  </r>
  <r>
    <n v="34"/>
    <s v="MR-34"/>
    <n v="5"/>
    <s v="Donec pede justo, fringilla vel, a"/>
    <d v="2019-06-07T00:00:00"/>
    <d v="2019-06-10T00:00:00"/>
    <n v="4"/>
    <n v="1"/>
    <n v="1"/>
    <n v="0"/>
    <n v="4"/>
    <n v="1"/>
    <s v="MR"/>
    <n v="5"/>
    <n v="1"/>
    <x v="1"/>
    <n v="34"/>
    <n v="8"/>
    <x v="3"/>
  </r>
  <r>
    <n v="36"/>
    <s v="MR-36"/>
    <n v="5"/>
    <s v="Proin viverra, ligula sit amet ultrices semper, ligula arcu tristique"/>
    <d v="2019-06-08T00:00:00"/>
    <d v="2019-06-09T00:00:00"/>
    <n v="4"/>
    <n v="6"/>
    <n v="5"/>
    <n v="0"/>
    <n v="4"/>
    <n v="2"/>
    <s v="MR"/>
    <n v="5"/>
    <n v="0"/>
    <x v="1"/>
    <n v="36"/>
    <n v="8"/>
    <x v="4"/>
  </r>
  <r>
    <n v="38"/>
    <s v="MR-38"/>
    <n v="2"/>
    <s v="Phasellus a est. Nulla sit amet est. Pellen"/>
    <d v="2019-06-10T00:00:00"/>
    <d v="2019-06-20T00:00:00"/>
    <n v="4"/>
    <n v="3"/>
    <n v="3"/>
    <n v="0"/>
    <n v="5"/>
    <n v="2"/>
    <s v="MR"/>
    <n v="5"/>
    <n v="1"/>
    <x v="1"/>
    <n v="38"/>
    <n v="8"/>
    <x v="4"/>
  </r>
  <r>
    <n v="40"/>
    <s v="MR-40"/>
    <n v="5"/>
    <s v="Phasellus accumsan cursus velit. Vivamus aliquet elit ac nisl. Proin magna. Phasellus ac"/>
    <d v="2019-06-12T00:00:00"/>
    <d v="2019-06-14T00:00:00"/>
    <n v="4"/>
    <n v="7"/>
    <n v="6"/>
    <n v="0"/>
    <n v="5"/>
    <n v="1"/>
    <s v="MR"/>
    <n v="5"/>
    <n v="0"/>
    <x v="1"/>
    <n v="40"/>
    <n v="8"/>
    <x v="0"/>
  </r>
  <r>
    <n v="42"/>
    <s v="MR-42"/>
    <n v="4"/>
    <s v="Suspendisse eu ligula. Curabitur"/>
    <d v="2019-06-15T00:00:00"/>
    <d v="2019-06-24T00:00:00"/>
    <n v="4"/>
    <n v="6"/>
    <n v="5"/>
    <n v="0"/>
    <n v="5"/>
    <n v="3"/>
    <s v="MR"/>
    <n v="5"/>
    <n v="0"/>
    <x v="1"/>
    <n v="42"/>
    <n v="8"/>
    <x v="4"/>
  </r>
  <r>
    <n v="44"/>
    <s v="MR-44"/>
    <n v="5"/>
    <s v="Proin viverra, ligula sit amet ultrices semper, ligula"/>
    <d v="2019-06-16T00:00:00"/>
    <d v="2019-06-26T00:00:00"/>
    <n v="4"/>
    <n v="4"/>
    <n v="4"/>
    <n v="0"/>
    <n v="5"/>
    <n v="3"/>
    <s v="MR"/>
    <n v="6"/>
    <n v="1"/>
    <x v="1"/>
    <n v="44"/>
    <n v="8"/>
    <x v="5"/>
  </r>
  <r>
    <n v="46"/>
    <s v="MR-46"/>
    <n v="1"/>
    <s v="Nam ipsum risus, rutrum vitae, vestibulum eu, molest"/>
    <d v="2019-06-19T00:00:00"/>
    <d v="2019-06-24T00:00:00"/>
    <n v="4"/>
    <n v="9"/>
    <n v="8"/>
    <n v="0"/>
    <n v="4"/>
    <n v="2"/>
    <s v="MR"/>
    <n v="6"/>
    <n v="0"/>
    <x v="2"/>
    <n v="46"/>
    <n v="8"/>
    <x v="6"/>
  </r>
  <r>
    <n v="48"/>
    <s v="MR-48"/>
    <n v="5"/>
    <s v="Fusce pharetra convallis urna. Pellentesque p"/>
    <d v="2019-06-21T00:00:00"/>
    <d v="2019-06-25T00:00:00"/>
    <n v="4"/>
    <n v="7"/>
    <n v="6"/>
    <n v="0"/>
    <n v="4"/>
    <n v="3"/>
    <s v="MR"/>
    <n v="6"/>
    <n v="0"/>
    <x v="2"/>
    <n v="48"/>
    <n v="8"/>
    <x v="2"/>
  </r>
  <r>
    <n v="50"/>
    <s v="MR-50"/>
    <n v="3"/>
    <s v="Duis arcu tortor, suscipit eg"/>
    <d v="2019-06-22T00:00:00"/>
    <d v="2019-06-28T00:00:00"/>
    <n v="4"/>
    <n v="5"/>
    <n v="5"/>
    <n v="0"/>
    <n v="6"/>
    <n v="3"/>
    <s v="MR"/>
    <n v="6"/>
    <n v="0"/>
    <x v="2"/>
    <n v="50"/>
    <n v="8"/>
    <x v="1"/>
  </r>
  <r>
    <n v="52"/>
    <s v="MR-52"/>
    <n v="1"/>
    <s v="Ut tincidunt tincidunt erat. Phasellus viverra nulla ut metus varius laoreet. P"/>
    <d v="2019-06-24T00:00:00"/>
    <d v="2019-07-03T00:00:00"/>
    <n v="4"/>
    <n v="8"/>
    <n v="7"/>
    <n v="0"/>
    <n v="4"/>
    <n v="3"/>
    <s v="MR"/>
    <n v="6"/>
    <n v="0"/>
    <x v="2"/>
    <n v="52"/>
    <n v="8"/>
    <x v="5"/>
  </r>
  <r>
    <n v="54"/>
    <s v="MR-54"/>
    <n v="2"/>
    <s v="Suspendisse enim turpis, dictum sed, iaculis a, condimentum nec, nisi. Na"/>
    <d v="2019-06-27T00:00:00"/>
    <d v="2019-07-01T00:00:00"/>
    <n v="4"/>
    <n v="10"/>
    <n v="9"/>
    <n v="0"/>
    <n v="4"/>
    <n v="1"/>
    <s v="MR"/>
    <n v="6"/>
    <n v="0"/>
    <x v="2"/>
    <n v="54"/>
    <n v="8"/>
    <x v="1"/>
  </r>
  <r>
    <n v="56"/>
    <s v="MR-56"/>
    <n v="5"/>
    <s v="Curabitur ullamcorper ultricies nisi. Sed magna purus, fermentum eu, tincidunt"/>
    <d v="2019-06-30T00:00:00"/>
    <d v="2019-07-03T00:00:00"/>
    <n v="4"/>
    <n v="8"/>
    <n v="7"/>
    <n v="0"/>
    <n v="5"/>
    <n v="1"/>
    <s v="MR"/>
    <n v="6"/>
    <n v="0"/>
    <x v="2"/>
    <n v="56"/>
    <n v="8"/>
    <x v="0"/>
  </r>
  <r>
    <n v="58"/>
    <s v="MR-58"/>
    <n v="3"/>
    <s v="Aenean leo ligula, porttitor eu, consequa"/>
    <d v="2019-07-03T00:00:00"/>
    <d v="2019-07-12T00:00:00"/>
    <n v="4"/>
    <n v="8"/>
    <n v="7"/>
    <n v="0"/>
    <n v="4"/>
    <n v="1"/>
    <s v="MR"/>
    <n v="6"/>
    <n v="0"/>
    <x v="2"/>
    <n v="58"/>
    <n v="8"/>
    <x v="2"/>
  </r>
  <r>
    <n v="60"/>
    <s v="MR-60"/>
    <n v="2"/>
    <s v="Etiam iaculis nunc ac metus. Donec elit libero, sodales nec, volutpat a, suscipit non, turpis. Prae"/>
    <d v="2019-07-05T00:00:00"/>
    <d v="2019-07-12T00:00:00"/>
    <n v="4"/>
    <n v="10"/>
    <n v="9"/>
    <n v="0"/>
    <n v="5"/>
    <n v="2"/>
    <s v="MR"/>
    <n v="6"/>
    <n v="0"/>
    <x v="2"/>
    <n v="60"/>
    <n v="8"/>
    <x v="1"/>
  </r>
  <r>
    <n v="62"/>
    <s v="MR-62"/>
    <n v="4"/>
    <s v="Pellentesque ut neque. Vestibulum fringilla pede sit a"/>
    <d v="2019-07-07T00:00:00"/>
    <d v="2019-07-09T00:00:00"/>
    <n v="4"/>
    <n v="9"/>
    <n v="8"/>
    <n v="0"/>
    <n v="4"/>
    <n v="1"/>
    <s v="MR"/>
    <n v="6"/>
    <n v="0"/>
    <x v="2"/>
    <n v="62"/>
    <n v="8"/>
    <x v="5"/>
  </r>
  <r>
    <n v="64"/>
    <s v="MR-64"/>
    <n v="3"/>
    <s v="Suspendisse non nisl sit amet velit hendrerit rutrum. Cras"/>
    <d v="2019-07-08T00:00:00"/>
    <d v="2019-07-10T00:00:00"/>
    <n v="4"/>
    <n v="4"/>
    <n v="4"/>
    <n v="0"/>
    <n v="6"/>
    <n v="2"/>
    <s v="MR"/>
    <n v="6"/>
    <n v="0"/>
    <x v="2"/>
    <n v="64"/>
    <n v="8"/>
    <x v="1"/>
  </r>
  <r>
    <n v="66"/>
    <s v="MR-66"/>
    <n v="3"/>
    <s v="Vestibulum suscipit nulla quis orci. In auctor lobortis lacus. Nulla sit amet est. Cras non dol"/>
    <d v="2019-07-09T00:00:00"/>
    <d v="2019-07-17T00:00:00"/>
    <n v="4"/>
    <n v="8"/>
    <n v="7"/>
    <n v="0"/>
    <n v="6"/>
    <n v="1"/>
    <s v="MR"/>
    <n v="7"/>
    <n v="0"/>
    <x v="3"/>
    <n v="66"/>
    <n v="8"/>
    <x v="2"/>
  </r>
  <r>
    <n v="68"/>
    <s v="MR-68"/>
    <n v="5"/>
    <s v="Aenean tellus metus, bibendum sed, posuere ac, mattis non, nunc. Nullam nulla eros, ultric"/>
    <d v="2019-07-11T00:00:00"/>
    <d v="2019-07-18T00:00:00"/>
    <n v="4"/>
    <n v="4"/>
    <n v="4"/>
    <n v="0"/>
    <n v="6"/>
    <n v="1"/>
    <s v="MR"/>
    <n v="7"/>
    <n v="0"/>
    <x v="3"/>
    <n v="68"/>
    <n v="8"/>
    <x v="1"/>
  </r>
  <r>
    <n v="70"/>
    <s v="MR-70"/>
    <n v="2"/>
    <s v="Aenean imperdiet. Donec e"/>
    <d v="2019-07-14T00:00:00"/>
    <d v="2019-07-15T00:00:00"/>
    <n v="4"/>
    <n v="1"/>
    <n v="1"/>
    <n v="0"/>
    <n v="4"/>
    <n v="1"/>
    <s v="MR"/>
    <n v="7"/>
    <n v="0"/>
    <x v="3"/>
    <n v="70"/>
    <n v="8"/>
    <x v="5"/>
  </r>
  <r>
    <n v="72"/>
    <s v="MR-72"/>
    <n v="3"/>
    <s v="Cras sagittis. Vestibulum ullamcorper mauris at ligula. Cras ultricies mi eu turpis hendr"/>
    <d v="2019-07-17T00:00:00"/>
    <d v="2019-07-21T00:00:00"/>
    <n v="4"/>
    <n v="7"/>
    <n v="6"/>
    <n v="0"/>
    <n v="6"/>
    <n v="3"/>
    <s v="MR"/>
    <n v="7"/>
    <n v="0"/>
    <x v="3"/>
    <n v="72"/>
    <n v="8"/>
    <x v="5"/>
  </r>
  <r>
    <n v="74"/>
    <s v="MR-74"/>
    <n v="4"/>
    <s v="Phasellus viverra nulla ut metus varius laoreet. Vestibulu"/>
    <d v="2019-07-18T00:00:00"/>
    <d v="2019-07-28T00:00:00"/>
    <n v="4"/>
    <n v="8"/>
    <n v="7"/>
    <n v="0"/>
    <n v="4"/>
    <n v="2"/>
    <s v="MR"/>
    <n v="7"/>
    <n v="0"/>
    <x v="3"/>
    <n v="74"/>
    <n v="9"/>
    <x v="0"/>
  </r>
  <r>
    <n v="76"/>
    <s v="MR-76"/>
    <n v="5"/>
    <s v="Vivamus euismod mauris. Vestibulum eu odi"/>
    <d v="2019-07-19T00:00:00"/>
    <d v="2019-07-29T00:00:00"/>
    <n v="4"/>
    <n v="7"/>
    <n v="6"/>
    <n v="0"/>
    <n v="4"/>
    <n v="3"/>
    <s v="MR"/>
    <n v="7"/>
    <n v="1"/>
    <x v="3"/>
    <n v="76"/>
    <n v="9"/>
    <x v="5"/>
  </r>
  <r>
    <n v="78"/>
    <s v="MR-78"/>
    <n v="2"/>
    <s v="Class aptent taciti sociosqu ad litora torquent per conubia nostra"/>
    <d v="2019-07-21T00:00:00"/>
    <d v="2019-07-31T00:00:00"/>
    <n v="4"/>
    <n v="7"/>
    <n v="6"/>
    <n v="0"/>
    <n v="6"/>
    <n v="3"/>
    <s v="MR"/>
    <n v="7"/>
    <n v="1"/>
    <x v="3"/>
    <n v="78"/>
    <n v="9"/>
    <x v="6"/>
  </r>
  <r>
    <n v="80"/>
    <s v="MR-80"/>
    <n v="2"/>
    <s v="Nam pretium turpis et arcu. Donec interdum, metus et hendrerit alique"/>
    <d v="2019-07-22T00:00:00"/>
    <d v="2019-07-28T00:00:00"/>
    <n v="4"/>
    <n v="8"/>
    <n v="7"/>
    <n v="0"/>
    <n v="5"/>
    <n v="1"/>
    <s v="MR"/>
    <n v="7"/>
    <n v="0"/>
    <x v="3"/>
    <n v="80"/>
    <n v="9"/>
    <x v="2"/>
  </r>
  <r>
    <n v="82"/>
    <s v="MR-82"/>
    <n v="4"/>
    <s v="Pellentesque habitant morbi"/>
    <d v="2019-07-23T00:00:00"/>
    <d v="2019-07-24T00:00:00"/>
    <n v="4"/>
    <n v="3"/>
    <n v="3"/>
    <n v="0"/>
    <n v="5"/>
    <n v="3"/>
    <s v="MR"/>
    <n v="7"/>
    <n v="0"/>
    <x v="3"/>
    <n v="82"/>
    <n v="9"/>
    <x v="5"/>
  </r>
  <r>
    <n v="84"/>
    <s v="MR-84"/>
    <n v="5"/>
    <s v="Vestibulum volutpat pretium libero. Nullam cursus lacinia erat. Morbi vestibulum volutpat enim"/>
    <d v="2019-07-26T00:00:00"/>
    <d v="2019-07-31T00:00:00"/>
    <n v="4"/>
    <n v="6"/>
    <n v="5"/>
    <n v="0"/>
    <n v="5"/>
    <n v="1"/>
    <s v="MR"/>
    <n v="7"/>
    <n v="0"/>
    <x v="3"/>
    <n v="84"/>
    <n v="9"/>
    <x v="6"/>
  </r>
  <r>
    <n v="86"/>
    <s v="MR-86"/>
    <n v="1"/>
    <s v="In auctor lobortis lacus. Etiam feugiat lo"/>
    <d v="2019-07-28T00:00:00"/>
    <d v="2019-07-31T00:00:00"/>
    <n v="4"/>
    <n v="10"/>
    <n v="9"/>
    <n v="0"/>
    <n v="5"/>
    <n v="3"/>
    <s v="MR"/>
    <n v="7"/>
    <n v="0"/>
    <x v="4"/>
    <n v="86"/>
    <n v="9"/>
    <x v="6"/>
  </r>
  <r>
    <n v="88"/>
    <s v="MR-88"/>
    <n v="2"/>
    <s v="Praesent ac sem eget est egestas volutpat. Ut non enim eleifend felis pretium feugiat. In dui magn"/>
    <d v="2019-07-30T00:00:00"/>
    <d v="2019-08-01T00:00:00"/>
    <n v="4"/>
    <n v="5"/>
    <n v="5"/>
    <n v="0"/>
    <n v="6"/>
    <n v="1"/>
    <s v="MR"/>
    <n v="7"/>
    <n v="0"/>
    <x v="4"/>
    <n v="88"/>
    <n v="10"/>
    <x v="6"/>
  </r>
  <r>
    <n v="90"/>
    <s v="MR-90"/>
    <n v="1"/>
    <s v="Nullam cursus lacinia erat. Aenean viver"/>
    <d v="2019-08-02T00:00:00"/>
    <d v="2019-08-04T00:00:00"/>
    <n v="4"/>
    <n v="4"/>
    <n v="4"/>
    <n v="0"/>
    <n v="4"/>
    <n v="1"/>
    <s v="MR"/>
    <n v="7"/>
    <n v="0"/>
    <x v="4"/>
    <n v="90"/>
    <n v="10"/>
    <x v="2"/>
  </r>
  <r>
    <n v="92"/>
    <s v="MR-92"/>
    <n v="2"/>
    <s v="Maecenas nec odio et ante tincidunt tempus. Quisque ut n"/>
    <d v="2019-08-03T00:00:00"/>
    <d v="2019-08-10T00:00:00"/>
    <n v="4"/>
    <n v="7"/>
    <n v="6"/>
    <n v="0"/>
    <n v="4"/>
    <n v="3"/>
    <s v="MR"/>
    <n v="7"/>
    <n v="0"/>
    <x v="4"/>
    <n v="92"/>
    <n v="10"/>
    <x v="6"/>
  </r>
  <r>
    <n v="94"/>
    <s v="MR-94"/>
    <n v="2"/>
    <s v="Fusce a quam. Fusce egestas elit eget lorem."/>
    <d v="2019-08-04T00:00:00"/>
    <d v="2019-08-08T00:00:00"/>
    <n v="4"/>
    <n v="4"/>
    <n v="4"/>
    <n v="0"/>
    <n v="4"/>
    <n v="3"/>
    <s v="MR"/>
    <n v="7"/>
    <n v="0"/>
    <x v="4"/>
    <n v="94"/>
    <n v="10"/>
    <x v="2"/>
  </r>
  <r>
    <n v="96"/>
    <s v="MR-96"/>
    <n v="3"/>
    <s v="Nulla facilisi. Fusce vulputate eleifend sapien. Curabitur ve"/>
    <d v="2019-08-07T00:00:00"/>
    <d v="2019-08-14T00:00:00"/>
    <n v="4"/>
    <n v="7"/>
    <n v="6"/>
    <n v="0"/>
    <n v="6"/>
    <n v="3"/>
    <s v="MR"/>
    <n v="7"/>
    <n v="0"/>
    <x v="4"/>
    <n v="96"/>
    <n v="10"/>
    <x v="5"/>
  </r>
  <r>
    <n v="98"/>
    <s v="MR-98"/>
    <n v="3"/>
    <s v="Phasellus leo dolor, tempus non, auctor et, he"/>
    <d v="2019-08-09T00:00:00"/>
    <d v="2019-08-10T00:00:00"/>
    <n v="4"/>
    <n v="7"/>
    <n v="6"/>
    <n v="0"/>
    <n v="5"/>
    <n v="3"/>
    <s v="MR"/>
    <n v="7"/>
    <n v="1"/>
    <x v="4"/>
    <n v="98"/>
    <n v="10"/>
    <x v="6"/>
  </r>
  <r>
    <n v="100"/>
    <s v="MR-100"/>
    <n v="5"/>
    <s v="Pellentesque habitant morbi tristique senectus et netus et malesuada fames ac turpis egestas. S"/>
    <d v="2019-08-10T00:00:00"/>
    <d v="2019-08-11T00:00:00"/>
    <n v="4"/>
    <n v="1"/>
    <n v="1"/>
    <n v="0"/>
    <n v="6"/>
    <n v="3"/>
    <s v="MR"/>
    <n v="7"/>
    <n v="0"/>
    <x v="4"/>
    <n v="100"/>
    <n v="10"/>
    <x v="1"/>
  </r>
  <r>
    <n v="102"/>
    <s v="MR-102"/>
    <n v="5"/>
    <s v="Donec quam felis, ultricies nec, pellentesque eu, pretium quis, sem. Eti"/>
    <d v="2019-08-13T00:00:00"/>
    <d v="2019-08-20T00:00:00"/>
    <n v="4"/>
    <n v="4"/>
    <n v="4"/>
    <n v="0"/>
    <n v="4"/>
    <n v="2"/>
    <s v="MR"/>
    <n v="8"/>
    <n v="0"/>
    <x v="4"/>
    <n v="102"/>
    <n v="10"/>
    <x v="7"/>
  </r>
  <r>
    <n v="104"/>
    <s v="MR-104"/>
    <n v="3"/>
    <s v="Cras dapibus. Curabitur ullamcorper ultricies nisi. Duis leo. Phasellus gravida semper nis"/>
    <d v="2019-08-15T00:00:00"/>
    <d v="2019-08-17T00:00:00"/>
    <n v="4"/>
    <n v="9"/>
    <n v="8"/>
    <n v="0"/>
    <n v="6"/>
    <n v="2"/>
    <s v="MR"/>
    <n v="8"/>
    <n v="0"/>
    <x v="4"/>
    <n v="104"/>
    <n v="10"/>
    <x v="8"/>
  </r>
  <r>
    <n v="106"/>
    <s v="MR-106"/>
    <n v="1"/>
    <s v="Sed cursus turpis vitae tortor. Integer ante arcu, accumsan a"/>
    <d v="2019-08-18T00:00:00"/>
    <d v="2019-08-26T00:00:00"/>
    <n v="4"/>
    <n v="6"/>
    <n v="5"/>
    <n v="0"/>
    <n v="6"/>
    <n v="3"/>
    <s v="MR"/>
    <n v="8"/>
    <n v="0"/>
    <x v="4"/>
    <n v="106"/>
    <n v="10"/>
    <x v="6"/>
  </r>
  <r>
    <n v="108"/>
    <s v="MR-108"/>
    <n v="5"/>
    <s v="Donec sodales sagittis magna. Ut varius tincidunt libero. Quisque id odio. Null"/>
    <d v="2019-08-20T00:00:00"/>
    <d v="2019-08-23T00:00:00"/>
    <n v="4"/>
    <n v="6"/>
    <n v="5"/>
    <n v="0"/>
    <n v="4"/>
    <n v="2"/>
    <s v="MR"/>
    <n v="8"/>
    <n v="0"/>
    <x v="4"/>
    <n v="108"/>
    <n v="10"/>
    <x v="7"/>
  </r>
  <r>
    <n v="110"/>
    <s v="MR-110"/>
    <n v="3"/>
    <s v="Sed in libero ut nibh placerat"/>
    <d v="2019-08-22T00:00:00"/>
    <d v="2019-09-01T00:00:00"/>
    <n v="4"/>
    <n v="6"/>
    <n v="5"/>
    <n v="0"/>
    <n v="4"/>
    <n v="3"/>
    <s v="MR"/>
    <n v="8"/>
    <n v="0"/>
    <x v="4"/>
    <n v="110"/>
    <n v="10"/>
    <x v="9"/>
  </r>
  <r>
    <n v="112"/>
    <s v="MR-112"/>
    <n v="4"/>
    <s v="Vestibulum rutrum, mi nec ele"/>
    <d v="2019-08-25T00:00:00"/>
    <d v="2019-09-04T00:00:00"/>
    <n v="4"/>
    <n v="4"/>
    <n v="4"/>
    <n v="0"/>
    <n v="6"/>
    <n v="1"/>
    <s v="MR"/>
    <n v="8"/>
    <n v="0"/>
    <x v="4"/>
    <n v="112"/>
    <n v="10"/>
    <x v="7"/>
  </r>
  <r>
    <n v="114"/>
    <s v="MR-114"/>
    <n v="4"/>
    <s v="Praesent metus tellus, elementum eu, semper a, adipiscing"/>
    <d v="2019-08-28T00:00:00"/>
    <d v="2019-09-04T00:00:00"/>
    <n v="4"/>
    <n v="1"/>
    <n v="1"/>
    <n v="0"/>
    <n v="5"/>
    <n v="2"/>
    <s v="MR"/>
    <n v="8"/>
    <n v="0"/>
    <x v="4"/>
    <n v="114"/>
    <n v="10"/>
    <x v="7"/>
  </r>
  <r>
    <n v="116"/>
    <s v="MR-116"/>
    <n v="5"/>
    <s v="In hac habitasse platea dictumst. Nulla porta dolor. Suspendisse feugiat. Morbi vestibulum volutpat"/>
    <d v="2019-08-29T00:00:00"/>
    <d v="2019-09-02T00:00:00"/>
    <n v="4"/>
    <n v="10"/>
    <n v="9"/>
    <n v="0"/>
    <n v="6"/>
    <n v="1"/>
    <s v="MR"/>
    <n v="8"/>
    <n v="1"/>
    <x v="4"/>
    <n v="116"/>
    <n v="10"/>
    <x v="6"/>
  </r>
  <r>
    <n v="118"/>
    <s v="MR-118"/>
    <n v="3"/>
    <s v="Vestibulum ullamcorper mauris a"/>
    <d v="2019-08-31T00:00:00"/>
    <d v="2019-09-06T00:00:00"/>
    <n v="4"/>
    <n v="3"/>
    <n v="3"/>
    <n v="0"/>
    <n v="5"/>
    <n v="3"/>
    <s v="MR"/>
    <n v="8"/>
    <n v="0"/>
    <x v="5"/>
    <n v="118"/>
    <n v="11"/>
    <x v="5"/>
  </r>
  <r>
    <n v="120"/>
    <s v="MR-120"/>
    <n v="1"/>
    <s v="Ut varius tincidunt libero. Nullam sagittis. Praesent ut ligula no"/>
    <d v="2019-09-02T00:00:00"/>
    <d v="2019-09-03T00:00:00"/>
    <n v="4"/>
    <n v="7"/>
    <n v="6"/>
    <n v="0"/>
    <n v="4"/>
    <n v="1"/>
    <s v="MR"/>
    <n v="8"/>
    <n v="0"/>
    <x v="5"/>
    <n v="120"/>
    <n v="11"/>
    <x v="8"/>
  </r>
  <r>
    <n v="122"/>
    <s v="MR-122"/>
    <n v="3"/>
    <s v="Nulla facilisi. Proin magna. Ut a nisl id ante tempus hendrerit. Praesent blandit laoreet n"/>
    <d v="2019-09-04T00:00:00"/>
    <d v="2019-09-11T00:00:00"/>
    <n v="4"/>
    <n v="8"/>
    <n v="7"/>
    <n v="0"/>
    <n v="5"/>
    <n v="1"/>
    <s v="MR"/>
    <n v="8"/>
    <n v="0"/>
    <x v="5"/>
    <n v="122"/>
    <n v="11"/>
    <x v="6"/>
  </r>
  <r>
    <n v="124"/>
    <s v="MR-124"/>
    <n v="3"/>
    <s v="Suspendisse potenti. Praesent vestibulum dapib"/>
    <d v="2019-09-06T00:00:00"/>
    <d v="2019-09-15T00:00:00"/>
    <n v="3"/>
    <n v="10"/>
    <n v="9"/>
    <n v="8"/>
    <n v="5"/>
    <n v="2"/>
    <s v="MR"/>
    <n v="8"/>
    <n v="0"/>
    <x v="5"/>
    <n v="124"/>
    <n v="11"/>
    <x v="8"/>
  </r>
  <r>
    <n v="126"/>
    <s v="MR-126"/>
    <n v="5"/>
    <s v="Nullam dictum felis eu pede mollis pretium. Quisque id mi. Pellentesque egestas, neque"/>
    <d v="2019-09-09T00:00:00"/>
    <d v="2019-09-15T00:00:00"/>
    <n v="3"/>
    <n v="2"/>
    <n v="2"/>
    <n v="1"/>
    <n v="5"/>
    <n v="1"/>
    <s v="MR"/>
    <n v="8"/>
    <n v="1"/>
    <x v="5"/>
    <n v="126"/>
    <n v="11"/>
    <x v="8"/>
  </r>
  <r>
    <n v="128"/>
    <s v="MR-128"/>
    <n v="2"/>
    <s v="Class aptent taciti sociosqu ad litora torquent per conubia nostra, per inceptos h"/>
    <d v="2019-09-12T00:00:00"/>
    <d v="2019-09-14T00:00:00"/>
    <n v="3"/>
    <n v="3"/>
    <n v="3"/>
    <n v="2"/>
    <n v="5"/>
    <n v="2"/>
    <s v="MR"/>
    <n v="8"/>
    <n v="1"/>
    <x v="5"/>
    <n v="128"/>
    <n v="11"/>
    <x v="6"/>
  </r>
  <r>
    <n v="130"/>
    <s v="MR-130"/>
    <n v="1"/>
    <s v="Pellentesque ut neque. Suspendisse eu ligula. Donec interdum, metus et hendrerit aliquet, dolor"/>
    <d v="2019-09-14T00:00:00"/>
    <d v="2019-09-15T00:00:00"/>
    <n v="3"/>
    <n v="8"/>
    <n v="7"/>
    <n v="6"/>
    <n v="4"/>
    <n v="2"/>
    <s v="MR"/>
    <n v="9"/>
    <n v="0"/>
    <x v="5"/>
    <n v="130"/>
    <n v="11"/>
    <x v="5"/>
  </r>
  <r>
    <n v="132"/>
    <s v="MR-132"/>
    <n v="1"/>
    <s v="Phasellus accumsan cursus velit. Etiam sit amet orci eget eros faucibus tincidunt. Done"/>
    <d v="2019-09-15T00:00:00"/>
    <d v="2019-09-21T00:00:00"/>
    <n v="3"/>
    <n v="9"/>
    <n v="8"/>
    <n v="6"/>
    <n v="5"/>
    <n v="3"/>
    <s v="MR"/>
    <n v="9"/>
    <n v="0"/>
    <x v="5"/>
    <n v="132"/>
    <n v="11"/>
    <x v="7"/>
  </r>
  <r>
    <n v="134"/>
    <s v="MR-134"/>
    <n v="4"/>
    <s v="Duis leo. Class aptent taciti sociosqu ad litora torquent p"/>
    <d v="2019-09-16T00:00:00"/>
    <d v="2019-09-25T00:00:00"/>
    <n v="3"/>
    <n v="1"/>
    <n v="1"/>
    <n v="0"/>
    <n v="5"/>
    <n v="3"/>
    <s v="MR"/>
    <n v="9"/>
    <n v="0"/>
    <x v="5"/>
    <n v="134"/>
    <n v="11"/>
    <x v="9"/>
  </r>
  <r>
    <n v="136"/>
    <s v="MR-136"/>
    <n v="2"/>
    <s v="Proin magna. Praesent porttitor, nulla vitae posuere iaculis, arcu nisl digni"/>
    <d v="2019-09-17T00:00:00"/>
    <d v="2019-09-22T00:00:00"/>
    <n v="2"/>
    <n v="7"/>
    <n v="6"/>
    <n v="7"/>
    <n v="4"/>
    <n v="3"/>
    <s v="MR"/>
    <n v="9"/>
    <n v="0"/>
    <x v="5"/>
    <n v="136"/>
    <n v="11"/>
    <x v="9"/>
  </r>
  <r>
    <n v="138"/>
    <s v="MR-138"/>
    <n v="5"/>
    <s v="Vivamus quis mi. Donec id justo. Aenean commod"/>
    <d v="2019-09-20T00:00:00"/>
    <d v="2019-09-27T00:00:00"/>
    <n v="2"/>
    <n v="6"/>
    <n v="5"/>
    <n v="6"/>
    <n v="4"/>
    <n v="1"/>
    <s v="MR"/>
    <n v="9"/>
    <n v="0"/>
    <x v="5"/>
    <n v="138"/>
    <n v="11"/>
    <x v="5"/>
  </r>
  <r>
    <n v="140"/>
    <s v="MR-140"/>
    <n v="3"/>
    <s v="Vestibulum ante ipsum primis in faucibus orci luctus et ul"/>
    <d v="2019-09-23T00:00:00"/>
    <d v="2019-09-25T00:00:00"/>
    <n v="2"/>
    <n v="4"/>
    <n v="4"/>
    <n v="4"/>
    <n v="6"/>
    <n v="1"/>
    <s v="MR"/>
    <n v="9"/>
    <n v="0"/>
    <x v="5"/>
    <n v="140"/>
    <n v="11"/>
    <x v="5"/>
  </r>
  <r>
    <n v="142"/>
    <s v="MR-142"/>
    <n v="2"/>
    <s v="Sed a libero. Suspendisse faucibus, nunc et pellentesque eg"/>
    <d v="2019-09-26T00:00:00"/>
    <d v="2019-09-27T00:00:00"/>
    <n v="2"/>
    <n v="9"/>
    <n v="8"/>
    <n v="9"/>
    <n v="6"/>
    <n v="2"/>
    <s v="MR"/>
    <n v="9"/>
    <n v="0"/>
    <x v="6"/>
    <n v="142"/>
    <n v="11"/>
    <x v="5"/>
  </r>
  <r>
    <n v="144"/>
    <s v="MR-144"/>
    <n v="1"/>
    <s v="Ut leo. Praesent nonummy mi in odio. Praesent ac massa"/>
    <d v="2019-09-27T00:00:00"/>
    <d v="2019-10-04T00:00:00"/>
    <n v="2"/>
    <n v="7"/>
    <n v="6"/>
    <n v="7"/>
    <n v="4"/>
    <n v="2"/>
    <s v="MR"/>
    <n v="9"/>
    <n v="1"/>
    <x v="6"/>
    <n v="144"/>
    <n v="11"/>
    <x v="9"/>
  </r>
  <r>
    <n v="146"/>
    <s v="MR-146"/>
    <n v="5"/>
    <s v="Praesent egestas neque eu enim. Aenean"/>
    <d v="2019-09-30T00:00:00"/>
    <d v="2019-10-02T00:00:00"/>
    <n v="2"/>
    <n v="3"/>
    <n v="3"/>
    <n v="3"/>
    <n v="4"/>
    <n v="2"/>
    <s v="MR"/>
    <n v="9"/>
    <n v="0"/>
    <x v="6"/>
    <n v="146"/>
    <n v="11"/>
    <x v="9"/>
  </r>
  <r>
    <n v="148"/>
    <s v="MR-148"/>
    <n v="1"/>
    <s v="Nam adipiscing. Aenean viverra rhoncus pede. Nunc nonummy metus. Duis vel nibh at velit sceleris"/>
    <d v="2019-10-03T00:00:00"/>
    <d v="2019-10-09T00:00:00"/>
    <n v="2"/>
    <n v="4"/>
    <n v="4"/>
    <n v="4"/>
    <n v="4"/>
    <n v="1"/>
    <s v="MR"/>
    <n v="9"/>
    <n v="0"/>
    <x v="6"/>
    <n v="148"/>
    <n v="11"/>
    <x v="6"/>
  </r>
  <r>
    <n v="150"/>
    <s v="MR-150"/>
    <n v="5"/>
    <s v="Pellentesque dapibus hendrerit"/>
    <d v="2019-10-06T00:00:00"/>
    <d v="2019-10-15T00:00:00"/>
    <n v="2"/>
    <n v="6"/>
    <n v="5"/>
    <n v="6"/>
    <n v="4"/>
    <n v="1"/>
    <s v="MR"/>
    <n v="9"/>
    <n v="0"/>
    <x v="6"/>
    <n v="150"/>
    <n v="11"/>
    <x v="7"/>
  </r>
  <r>
    <n v="152"/>
    <s v="MR-152"/>
    <n v="4"/>
    <s v="Phasellus consectetuer vestibulum elit. Fusce egestas elit eget lorem"/>
    <d v="2019-10-07T00:00:00"/>
    <d v="2019-10-13T00:00:00"/>
    <n v="2"/>
    <n v="6"/>
    <n v="5"/>
    <n v="6"/>
    <n v="4"/>
    <n v="3"/>
    <s v="MR"/>
    <n v="9"/>
    <n v="0"/>
    <x v="6"/>
    <n v="152"/>
    <n v="12"/>
    <x v="6"/>
  </r>
  <r>
    <n v="154"/>
    <s v="MR-154"/>
    <n v="5"/>
    <s v="Donec venenatis vulputate lorem. Proin vi"/>
    <d v="2019-10-09T00:00:00"/>
    <d v="2019-10-11T00:00:00"/>
    <n v="2"/>
    <n v="1"/>
    <n v="1"/>
    <n v="1"/>
    <n v="6"/>
    <n v="2"/>
    <s v="MR"/>
    <n v="9"/>
    <n v="0"/>
    <x v="6"/>
    <n v="154"/>
    <n v="12"/>
    <x v="9"/>
  </r>
  <r>
    <n v="156"/>
    <s v="MR-156"/>
    <n v="4"/>
    <s v="Fusce commodo aliquam arcu. Phasellus blandit leo ut odio. Nulla sit amet"/>
    <d v="2019-10-11T00:00:00"/>
    <d v="2019-10-21T00:00:00"/>
    <n v="2"/>
    <n v="2"/>
    <n v="2"/>
    <n v="2"/>
    <n v="6"/>
    <n v="3"/>
    <s v="MR"/>
    <n v="9"/>
    <n v="0"/>
    <x v="6"/>
    <n v="156"/>
    <n v="12"/>
    <x v="5"/>
  </r>
  <r>
    <n v="158"/>
    <s v="MR-158"/>
    <n v="1"/>
    <s v="Nulla porta dolor. Praesent nec nisl a pu"/>
    <d v="2019-10-13T00:00:00"/>
    <d v="2019-10-20T00:00:00"/>
    <n v="2"/>
    <n v="1"/>
    <n v="1"/>
    <n v="1"/>
    <n v="5"/>
    <n v="3"/>
    <s v="MR"/>
    <n v="9"/>
    <n v="0"/>
    <x v="6"/>
    <n v="158"/>
    <n v="12"/>
    <x v="8"/>
  </r>
  <r>
    <n v="160"/>
    <s v="MR-160"/>
    <n v="2"/>
    <s v="Suspendisse pulvinar, augue ac venenatis condimentum, sem libero volutpat"/>
    <d v="2019-10-14T00:00:00"/>
    <d v="2019-10-17T00:00:00"/>
    <n v="2"/>
    <n v="4"/>
    <n v="4"/>
    <n v="4"/>
    <n v="5"/>
    <n v="1"/>
    <s v="MR"/>
    <n v="9"/>
    <n v="0"/>
    <x v="6"/>
    <n v="160"/>
    <n v="12"/>
    <x v="7"/>
  </r>
  <r>
    <n v="162"/>
    <s v="MR-162"/>
    <n v="1"/>
    <s v="Nunc interdum lacus sit amet orci. Aliquam lobortis. Vestibulum rutrum, mi n"/>
    <d v="2019-10-17T00:00:00"/>
    <d v="2019-10-20T00:00:00"/>
    <n v="2"/>
    <n v="3"/>
    <n v="3"/>
    <n v="3"/>
    <n v="5"/>
    <n v="3"/>
    <s v="MR"/>
    <n v="9"/>
    <n v="0"/>
    <x v="6"/>
    <n v="162"/>
    <n v="12"/>
    <x v="7"/>
  </r>
  <r>
    <n v="164"/>
    <s v="MR-164"/>
    <n v="3"/>
    <s v="Etiam feugiat lorem non metus."/>
    <d v="2019-10-18T00:00:00"/>
    <d v="2019-10-27T00:00:00"/>
    <n v="2"/>
    <n v="2"/>
    <n v="2"/>
    <n v="2"/>
    <n v="5"/>
    <n v="1"/>
    <s v="MR"/>
    <n v="9"/>
    <n v="0"/>
    <x v="6"/>
    <n v="164"/>
    <n v="12"/>
    <x v="5"/>
  </r>
  <r>
    <n v="166"/>
    <s v="MR-166"/>
    <n v="2"/>
    <s v="Fusce risus nisl, viverra et, tem"/>
    <d v="2019-10-19T00:00:00"/>
    <d v="2019-10-27T00:00:00"/>
    <n v="2"/>
    <n v="3"/>
    <n v="3"/>
    <n v="3"/>
    <n v="4"/>
    <n v="2"/>
    <s v="MR"/>
    <n v="10"/>
    <n v="0"/>
    <x v="7"/>
    <n v="166"/>
    <n v="13"/>
    <x v="7"/>
  </r>
  <r>
    <n v="168"/>
    <s v="MR-168"/>
    <n v="5"/>
    <s v="Vestibulum dapibus nunc ac augue. Cura"/>
    <d v="2019-10-22T00:00:00"/>
    <d v="2019-11-01T00:00:00"/>
    <n v="2"/>
    <n v="9"/>
    <n v="8"/>
    <n v="9"/>
    <n v="4"/>
    <n v="2"/>
    <s v="MR"/>
    <n v="10"/>
    <n v="0"/>
    <x v="7"/>
    <n v="168"/>
    <n v="13"/>
    <x v="8"/>
  </r>
  <r>
    <n v="170"/>
    <s v="MR-170"/>
    <n v="3"/>
    <s v="Vestibulum ante ipsum primis in faucibus orci luctus et ultrices posuere cubilia"/>
    <d v="2019-10-24T00:00:00"/>
    <d v="2019-10-25T00:00:00"/>
    <n v="2"/>
    <n v="10"/>
    <n v="9"/>
    <n v="10"/>
    <n v="4"/>
    <n v="1"/>
    <s v="MR"/>
    <n v="10"/>
    <n v="0"/>
    <x v="7"/>
    <n v="170"/>
    <n v="13"/>
    <x v="9"/>
  </r>
  <r>
    <n v="172"/>
    <s v="MR-172"/>
    <n v="5"/>
    <s v="Etiam rhoncus. Quisque id mi. Fusce pharetra co"/>
    <d v="2019-10-27T00:00:00"/>
    <d v="2019-11-03T00:00:00"/>
    <n v="2"/>
    <n v="8"/>
    <n v="7"/>
    <n v="8"/>
    <n v="4"/>
    <n v="3"/>
    <s v="MR"/>
    <n v="10"/>
    <n v="1"/>
    <x v="7"/>
    <n v="172"/>
    <n v="13"/>
    <x v="10"/>
  </r>
  <r>
    <n v="174"/>
    <s v="MR-174"/>
    <n v="5"/>
    <s v="Vivamus laoreet. Suspendisse potenti."/>
    <d v="2019-10-28T00:00:00"/>
    <d v="2019-11-01T00:00:00"/>
    <n v="2"/>
    <n v="5"/>
    <n v="5"/>
    <n v="5"/>
    <n v="6"/>
    <n v="3"/>
    <s v="MR"/>
    <n v="10"/>
    <n v="0"/>
    <x v="7"/>
    <n v="174"/>
    <n v="13"/>
    <x v="10"/>
  </r>
  <r>
    <n v="176"/>
    <s v="MR-176"/>
    <n v="2"/>
    <s v="Vestibulum ante ipsum primis in faucibus orci luctus e"/>
    <d v="2019-10-30T00:00:00"/>
    <d v="2019-11-06T00:00:00"/>
    <n v="2"/>
    <n v="6"/>
    <n v="5"/>
    <n v="6"/>
    <n v="5"/>
    <n v="3"/>
    <s v="MR"/>
    <n v="10"/>
    <n v="0"/>
    <x v="7"/>
    <n v="176"/>
    <n v="13"/>
    <x v="8"/>
  </r>
  <r>
    <n v="178"/>
    <s v="MR-178"/>
    <n v="3"/>
    <s v="Praesent blandit laoreet nibh. Donec vitae orci sed dolor rutrum auctor. Donec"/>
    <d v="2019-11-02T00:00:00"/>
    <d v="2019-11-03T00:00:00"/>
    <n v="2"/>
    <n v="10"/>
    <n v="9"/>
    <n v="10"/>
    <n v="6"/>
    <n v="1"/>
    <s v="MR"/>
    <n v="10"/>
    <n v="1"/>
    <x v="7"/>
    <n v="178"/>
    <n v="13"/>
    <x v="11"/>
  </r>
  <r>
    <n v="180"/>
    <s v="MR-180"/>
    <n v="2"/>
    <s v="Donec mi odio, faucibus at, scelerisque quis, convalli"/>
    <d v="2019-11-03T00:00:00"/>
    <d v="2019-11-09T00:00:00"/>
    <n v="2"/>
    <n v="2"/>
    <n v="2"/>
    <n v="2"/>
    <n v="6"/>
    <n v="2"/>
    <s v="MR"/>
    <n v="10"/>
    <n v="0"/>
    <x v="7"/>
    <n v="180"/>
    <n v="13"/>
    <x v="7"/>
  </r>
  <r>
    <n v="182"/>
    <s v="MR-182"/>
    <n v="5"/>
    <s v="Sed augue ipsum, egestas nec, vestibulum et, malesuada adipiscing, dui. Phas"/>
    <d v="2019-11-06T00:00:00"/>
    <d v="2019-11-15T00:00:00"/>
    <n v="1"/>
    <n v="10"/>
    <n v="9"/>
    <n v="10"/>
    <n v="4"/>
    <n v="1"/>
    <s v="MR"/>
    <n v="10"/>
    <n v="0"/>
    <x v="7"/>
    <n v="182"/>
    <n v="13"/>
    <x v="10"/>
  </r>
  <r>
    <n v="184"/>
    <s v="MR-184"/>
    <n v="4"/>
    <s v="Suspendisse feugiat. Curabitur ullamcorper ultricies ni"/>
    <d v="2019-11-07T00:00:00"/>
    <d v="2019-11-17T00:00:00"/>
    <n v="1"/>
    <n v="10"/>
    <n v="9"/>
    <n v="10"/>
    <n v="5"/>
    <n v="2"/>
    <s v="MR"/>
    <n v="10"/>
    <n v="0"/>
    <x v="7"/>
    <n v="184"/>
    <n v="13"/>
    <x v="11"/>
  </r>
  <r>
    <n v="186"/>
    <s v="MR-186"/>
    <n v="1"/>
    <s v="Pellentesque habitant morbi tristique senectus et netus et malesuada fames ac turpis egestas."/>
    <d v="2019-11-09T00:00:00"/>
    <d v="2019-11-15T00:00:00"/>
    <n v="1"/>
    <n v="6"/>
    <n v="5"/>
    <n v="6"/>
    <n v="4"/>
    <n v="2"/>
    <s v="MR"/>
    <n v="10"/>
    <n v="0"/>
    <x v="7"/>
    <n v="186"/>
    <n v="13"/>
    <x v="7"/>
  </r>
  <r>
    <n v="188"/>
    <s v="MR-188"/>
    <n v="3"/>
    <s v="Ut leo. Suspendisse feugiat. Fusce convallis metu"/>
    <d v="2019-11-11T00:00:00"/>
    <d v="2019-11-16T00:00:00"/>
    <n v="1"/>
    <n v="6"/>
    <n v="5"/>
    <n v="6"/>
    <n v="4"/>
    <n v="3"/>
    <s v="MR"/>
    <n v="10"/>
    <n v="0"/>
    <x v="7"/>
    <n v="188"/>
    <n v="13"/>
    <x v="8"/>
  </r>
  <r>
    <n v="190"/>
    <s v="MR-190"/>
    <n v="5"/>
    <s v="Vestibulum rutrum, mi nec elementum vehicula, eros quam gravida nisl, id fringilla neque ante vel m"/>
    <d v="2019-11-13T00:00:00"/>
    <d v="2019-11-17T00:00:00"/>
    <n v="1"/>
    <n v="9"/>
    <n v="8"/>
    <n v="9"/>
    <n v="5"/>
    <n v="3"/>
    <s v="MR"/>
    <n v="10"/>
    <n v="0"/>
    <x v="7"/>
    <n v="190"/>
    <n v="13"/>
    <x v="11"/>
  </r>
  <r>
    <n v="192"/>
    <s v="MR-192"/>
    <n v="3"/>
    <s v="Duis leo. Morbi mollis tellus ac sapien. Nam ipsum risus, rutrum vitae, vestibulum eu, molestie"/>
    <d v="2019-11-16T00:00:00"/>
    <d v="2019-11-18T00:00:00"/>
    <n v="1"/>
    <n v="7"/>
    <n v="6"/>
    <n v="7"/>
    <n v="5"/>
    <n v="2"/>
    <s v="MR"/>
    <n v="10"/>
    <n v="0"/>
    <x v="7"/>
    <n v="192"/>
    <n v="13"/>
    <x v="7"/>
  </r>
  <r>
    <n v="194"/>
    <s v="MR-194"/>
    <n v="2"/>
    <s v="Vivamus laoreet. Donec quam felis, ultricies nec, pellentesque eu, pretium qu"/>
    <d v="2019-11-19T00:00:00"/>
    <d v="2019-11-24T00:00:00"/>
    <n v="1"/>
    <n v="3"/>
    <n v="3"/>
    <n v="3"/>
    <n v="5"/>
    <n v="1"/>
    <s v="MR"/>
    <n v="10"/>
    <n v="0"/>
    <x v="7"/>
    <n v="194"/>
    <n v="13"/>
    <x v="11"/>
  </r>
  <r>
    <n v="196"/>
    <s v="MR-196"/>
    <n v="1"/>
    <s v="Fusce commodo aliquam arcu. Phasellus"/>
    <d v="2019-11-21T00:00:00"/>
    <d v="2019-11-25T00:00:00"/>
    <n v="1"/>
    <n v="5"/>
    <n v="5"/>
    <n v="5"/>
    <n v="4"/>
    <n v="3"/>
    <s v="MR"/>
    <n v="10"/>
    <n v="0"/>
    <x v="7"/>
    <n v="196"/>
    <n v="13"/>
    <x v="9"/>
  </r>
  <r>
    <n v="198"/>
    <s v="MR-198"/>
    <n v="5"/>
    <s v="Curabitur suscipit suscipit tellus. Nullam accumsan lorem in"/>
    <d v="2019-11-22T00:00:00"/>
    <d v="2019-11-23T00:00:00"/>
    <n v="1"/>
    <n v="1"/>
    <n v="1"/>
    <n v="1"/>
    <n v="5"/>
    <n v="1"/>
    <s v="MR"/>
    <n v="10"/>
    <n v="0"/>
    <x v="7"/>
    <n v="198"/>
    <n v="13"/>
    <x v="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A655F6-3859-4619-98C0-E752E0666F89}" name="Сводная таблица4" cacheId="1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O1:P15" firstHeaderRow="1" firstDataRow="1" firstDataCol="1"/>
  <pivotFields count="19"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4">
        <item x="0"/>
        <item x="2"/>
        <item x="1"/>
        <item x="3"/>
        <item x="4"/>
        <item x="5"/>
        <item x="6"/>
        <item x="9"/>
        <item x="7"/>
        <item x="8"/>
        <item x="10"/>
        <item x="11"/>
        <item x="12"/>
        <item t="default"/>
      </items>
    </pivotField>
  </pivotFields>
  <rowFields count="1">
    <field x="18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dataFields count="1">
    <dataField name="Труд.исх." fld="7" baseField="18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676D60-3A7C-4D2A-9909-AF924544ED90}" name="Сводная таблица5" cacheId="2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O17:P30" firstHeaderRow="1" firstDataRow="1" firstDataCol="1"/>
  <pivotFields count="19">
    <pivotField showAll="0"/>
    <pivotField showAll="0"/>
    <pivotField showAll="0"/>
    <pivotField showAll="0"/>
    <pivotField numFmtId="16" showAll="0"/>
    <pivotField numFmtId="16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3">
        <item x="3"/>
        <item x="4"/>
        <item x="2"/>
        <item x="1"/>
        <item x="0"/>
        <item x="5"/>
        <item x="6"/>
        <item x="9"/>
        <item x="8"/>
        <item x="7"/>
        <item x="10"/>
        <item x="11"/>
        <item t="default"/>
      </items>
    </pivotField>
  </pivotFields>
  <rowFields count="1">
    <field x="18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Труд.исх." fld="7" baseField="18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328C6E-35A3-4E20-BCFD-C0D5754EDEA7}" name="Сводная таблица6" cacheId="0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K1:M11" firstHeaderRow="0" firstDataRow="1" firstDataCol="1"/>
  <pivotFields count="16"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axis="axisRow" showAll="0">
      <items count="19">
        <item x="0"/>
        <item m="1" x="10"/>
        <item x="1"/>
        <item m="1" x="16"/>
        <item x="2"/>
        <item m="1" x="11"/>
        <item x="3"/>
        <item m="1" x="14"/>
        <item x="4"/>
        <item m="1" x="15"/>
        <item x="5"/>
        <item m="1" x="17"/>
        <item x="6"/>
        <item m="1" x="9"/>
        <item x="7"/>
        <item m="1" x="12"/>
        <item m="1" x="13"/>
        <item x="8"/>
        <item t="default"/>
      </items>
    </pivotField>
  </pivotFields>
  <rowFields count="1">
    <field x="15"/>
  </rowFields>
  <rowItems count="10">
    <i>
      <x/>
    </i>
    <i>
      <x v="2"/>
    </i>
    <i>
      <x v="4"/>
    </i>
    <i>
      <x v="6"/>
    </i>
    <i>
      <x v="8"/>
    </i>
    <i>
      <x v="10"/>
    </i>
    <i>
      <x v="12"/>
    </i>
    <i>
      <x v="14"/>
    </i>
    <i>
      <x v="17"/>
    </i>
    <i t="grand">
      <x/>
    </i>
  </rowItems>
  <colFields count="1">
    <field x="-2"/>
  </colFields>
  <colItems count="2">
    <i>
      <x/>
    </i>
    <i i="1">
      <x v="1"/>
    </i>
  </colItems>
  <dataFields count="2">
    <dataField name="Труд." fld="7" baseField="11" baseItem="3"/>
    <dataField name="Потр." fld="8" baseField="11" baseItem="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1268C5-E318-40F0-A9A7-F03114E6B89A}" name="Сводная таблица1" cacheId="0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G1:I11" firstHeaderRow="0" firstDataRow="1" firstDataCol="1"/>
  <pivotFields count="16"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axis="axisRow" showAll="0">
      <items count="19">
        <item x="0"/>
        <item m="1" x="10"/>
        <item x="1"/>
        <item m="1" x="16"/>
        <item x="2"/>
        <item m="1" x="11"/>
        <item x="3"/>
        <item m="1" x="14"/>
        <item x="4"/>
        <item m="1" x="15"/>
        <item x="5"/>
        <item m="1" x="17"/>
        <item x="6"/>
        <item m="1" x="9"/>
        <item x="7"/>
        <item m="1" x="12"/>
        <item m="1" x="13"/>
        <item x="8"/>
        <item t="default"/>
      </items>
    </pivotField>
  </pivotFields>
  <rowFields count="1">
    <field x="15"/>
  </rowFields>
  <rowItems count="10">
    <i>
      <x/>
    </i>
    <i>
      <x v="2"/>
    </i>
    <i>
      <x v="4"/>
    </i>
    <i>
      <x v="6"/>
    </i>
    <i>
      <x v="8"/>
    </i>
    <i>
      <x v="10"/>
    </i>
    <i>
      <x v="12"/>
    </i>
    <i>
      <x v="14"/>
    </i>
    <i>
      <x v="17"/>
    </i>
    <i t="grand">
      <x/>
    </i>
  </rowItems>
  <colFields count="1">
    <field x="-2"/>
  </colFields>
  <colItems count="2">
    <i>
      <x/>
    </i>
    <i i="1">
      <x v="1"/>
    </i>
  </colItems>
  <dataFields count="2">
    <dataField name="Труд." fld="7" baseField="11" baseItem="3"/>
    <dataField name="Потр." fld="8" baseField="11" baseItem="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95FF64E-DC5F-4E13-AB6B-8999649559FA}" name="Сводная таблица2" cacheId="1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B1:D11" firstHeaderRow="0" firstDataRow="1" firstDataCol="1"/>
  <pivotFields count="19"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axis="axisRow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showAll="0"/>
    <pivotField showAll="0"/>
  </pivotFields>
  <rowFields count="1">
    <field x="15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Тр.исх." fld="7" baseField="15" baseItem="0"/>
    <dataField name="Тр.факт." fld="8" baseField="15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F0A58E-B312-445C-B945-99780D6BD778}" name="Сводная таблица3" cacheId="2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B13:D22" firstHeaderRow="0" firstDataRow="1" firstDataCol="1"/>
  <pivotFields count="19">
    <pivotField showAll="0"/>
    <pivotField showAll="0"/>
    <pivotField showAll="0"/>
    <pivotField showAll="0"/>
    <pivotField numFmtId="16" showAll="0"/>
    <pivotField numFmtId="16"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axis="axisRow"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showAll="0"/>
    <pivotField showAll="0"/>
    <pivotField showAll="0"/>
  </pivotFields>
  <rowFields count="1">
    <field x="15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Тр.исх." fld="7" baseField="15" baseItem="0"/>
    <dataField name="Тр.факт." fld="8" baseField="15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3F9454A-37C0-4397-9694-AC934B30F07C}" name="Таблица4" displayName="Таблица4" ref="A1:H17" totalsRowShown="0">
  <autoFilter ref="A1:H17" xr:uid="{3E386D77-8AF7-40C8-B3B5-17A7546B410C}"/>
  <tableColumns count="8">
    <tableColumn id="1" xr3:uid="{3ED19A8C-5A5B-4446-937F-32039BF61A40}" name="ID"/>
    <tableColumn id="2" xr3:uid="{150D4A67-7355-49B2-87B0-61BA7E9C91E3}" name="Дата начала" dataDxfId="45"/>
    <tableColumn id="3" xr3:uid="{09CD8CC4-B805-4239-AA03-AFFBFE62D15D}" name="Дата конца" dataDxfId="44"/>
    <tableColumn id="4" xr3:uid="{69C96DA9-0D9C-4594-A220-095BE147C16A}" name="ProjectKey"/>
    <tableColumn id="5" xr3:uid="{8F6E72D6-DE93-447A-9A2C-B310D599AC62}" name="TeamName"/>
    <tableColumn id="6" xr3:uid="{61397779-0B22-4AE8-8EFF-1615C3A2F508}" name="SprintEstimatedValue">
      <calculatedColumnFormula>SUMIF(Задачи1!H:S,Спринты!A2,Задачи1!H:H)</calculatedColumnFormula>
    </tableColumn>
    <tableColumn id="7" xr3:uid="{94C2F54B-56EF-469E-8F22-077054CCF4A1}" name="TasksEstimationValue" dataDxfId="43">
      <calculatedColumnFormula>VLOOKUP(Таблица4[[#This Row],[ID]],'Сводные данные'!B:C,2,FALSE)</calculatedColumnFormula>
    </tableColumn>
    <tableColumn id="8" xr3:uid="{29014318-BCAB-46B7-9E90-54A9E51DBC87}" name="StateId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8D129A1-DD46-4FAE-B0A0-572573D43282}" name="Таблица1" displayName="Таблица1" ref="A1:S100" totalsRowShown="0" headerRowDxfId="42" dataDxfId="41">
  <autoFilter ref="A1:S100" xr:uid="{0331F7DF-97AD-4893-ABA8-80DF032AB16B}"/>
  <tableColumns count="19">
    <tableColumn id="1" xr3:uid="{67C581A3-0436-4569-84F3-10B205AF7CB9}" name="ID" dataDxfId="40"/>
    <tableColumn id="13" xr3:uid="{774C9B16-F9D5-4EF2-BA2B-7D83A61A9B20}" name="Key" dataDxfId="39">
      <calculatedColumnFormula>"MR-"&amp;Таблица1[[#This Row],[ID]]</calculatedColumnFormula>
    </tableColumn>
    <tableColumn id="14" xr3:uid="{E2CEEBD5-3BB0-49AB-8942-B5691BC9B85B}" name="AuthorID" dataDxfId="38"/>
    <tableColumn id="2" xr3:uid="{47E7052B-9F9F-43CB-86BC-ADD3D96E24F0}" name="Name" dataDxfId="37"/>
    <tableColumn id="16" xr3:uid="{EFD8CD7E-4B90-4797-BDF3-F534DDDAF1D8}" name="01.май" dataDxfId="36">
      <calculatedColumnFormula>Таблица1[[#Headers],[01.май]]+RANDBETWEEN(1,3)+E1-Таблица1[[#Headers],[01.май]]</calculatedColumnFormula>
    </tableColumn>
    <tableColumn id="17" xr3:uid="{25239CD9-CC2D-44CE-A85E-1886FE651E1D}" name="Дата обновления" dataDxfId="35">
      <calculatedColumnFormula>Таблица1[[#This Row],[01.май]]+RANDBETWEEN(1,10)</calculatedColumnFormula>
    </tableColumn>
    <tableColumn id="3" xr3:uid="{2E2D35E6-7657-4B33-9DCD-36CEC2A58AE1}" name="Статус" dataDxfId="34"/>
    <tableColumn id="4" xr3:uid="{B46686C8-05ED-40B3-9298-D9DFCB1E1986}" name="Трудоемкость исходная" dataDxfId="33"/>
    <tableColumn id="5" xr3:uid="{9037D0A7-6955-4495-AFDF-256CC59DB046}" name="Трудоемкость потраченная" dataDxfId="32"/>
    <tableColumn id="6" xr3:uid="{9D48FC6B-3551-450D-A9EC-BDFC12C262FE}" name="Трудоемкость остаток" dataDxfId="31"/>
    <tableColumn id="7" xr3:uid="{55E50633-1235-4349-ADA6-AC93C9B8AFCE}" name="Исполнитель" dataDxfId="30"/>
    <tableColumn id="8" xr3:uid="{67F39F47-B2D9-41FF-BE2B-ECCDA6358733}" name="КЭ" dataDxfId="29"/>
    <tableColumn id="9" xr3:uid="{224C19D2-78F3-4965-9CE5-43F1CAA045EA}" name="Проектная область" dataDxfId="28"/>
    <tableColumn id="10" xr3:uid="{9C01F40D-B175-4764-AD4E-C3FACBC8BA98}" name="Релиз" dataDxfId="27"/>
    <tableColumn id="11" xr3:uid="{220E15A5-61E7-4839-877F-0DD74D610AF0}" name="Severity" dataDxfId="26">
      <calculatedColumnFormula>IF(RANDBETWEEN(0,10)&gt;5,1,0)</calculatedColumnFormula>
    </tableColumn>
    <tableColumn id="12" xr3:uid="{DDE50466-392B-4C1C-92A0-F892F6C56A63}" name="Спринт" dataDxfId="25"/>
    <tableColumn id="19" xr3:uid="{270AB06D-7612-45E4-80D1-01FE4E7D091E}" name="PullRequest" dataDxfId="24"/>
    <tableColumn id="20" xr3:uid="{4E833090-4DCB-4190-89E0-95920C3B43F3}" name="Release" dataDxfId="23"/>
    <tableColumn id="18" xr3:uid="{C7F7844C-2918-4D78-AD3C-5F077861E880}" name="Epic" dataDxfId="22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7BFD3A3-3D97-4A79-AA32-8B1681694A08}" name="Таблица14" displayName="Таблица14" ref="A1:S100" totalsRowShown="0" headerRowDxfId="21" dataDxfId="20">
  <autoFilter ref="A1:S100" xr:uid="{BA28B8B9-B205-48E6-9450-DB98D3D9C376}"/>
  <tableColumns count="19">
    <tableColumn id="1" xr3:uid="{65E25E75-AB66-4BEB-867D-5572F93E8C82}" name="ID" dataDxfId="19"/>
    <tableColumn id="13" xr3:uid="{27C0C0A6-C92F-4E4A-948D-AFCF64DDDB59}" name="Key" dataDxfId="18">
      <calculatedColumnFormula>"MR-"&amp;Таблица14[[#This Row],[ID]]</calculatedColumnFormula>
    </tableColumn>
    <tableColumn id="14" xr3:uid="{DBB06FE3-2EF7-4752-80F3-0173A02ED0A9}" name="AuthorID" dataDxfId="17"/>
    <tableColumn id="2" xr3:uid="{93DAE604-3B79-4239-BA59-1E7EA0A5E0C4}" name="Name" dataDxfId="16"/>
    <tableColumn id="16" xr3:uid="{04F7350B-3D68-4B87-BBBA-3E3123EBDD87}" name="01.май" dataDxfId="15">
      <calculatedColumnFormula>Таблица14[[#Headers],[01.май]]+RANDBETWEEN(1,3)+E1-Таблица14[[#Headers],[01.май]]</calculatedColumnFormula>
    </tableColumn>
    <tableColumn id="17" xr3:uid="{3824EC16-AD17-4057-995F-53E905312A78}" name="Столбец1" dataDxfId="14">
      <calculatedColumnFormula>Таблица14[[#This Row],[01.май]]+RANDBETWEEN(1,10)</calculatedColumnFormula>
    </tableColumn>
    <tableColumn id="3" xr3:uid="{C60229A2-6084-4157-89B9-CACD161CF65B}" name="Статус" dataDxfId="13"/>
    <tableColumn id="4" xr3:uid="{6C714B21-B11D-4328-8671-397A509D7B99}" name="Трудоемкость исходная" dataDxfId="12">
      <calculatedColumnFormula>RANDBETWEEN(1,10)</calculatedColumnFormula>
    </tableColumn>
    <tableColumn id="5" xr3:uid="{4EE46999-F2B0-432C-9A20-7B3E6C1BC25E}" name="Трудоемкость потраченная" dataDxfId="11">
      <calculatedColumnFormula>Таблица14[[#This Row],[Трудоемкость исходная]]+RANDBETWEEN(-Таблица14[[#This Row],[Трудоемкость исходная]]/6,-Таблица14[[#This Row],[Трудоемкость исходная]]/6)</calculatedColumnFormula>
    </tableColumn>
    <tableColumn id="6" xr3:uid="{E22CB3EB-7B0F-486F-9F92-51035D212410}" name="Трудоемкость остаток" dataDxfId="10"/>
    <tableColumn id="7" xr3:uid="{A93DC514-ECD1-474B-BF0B-D53549EF002B}" name="Исполнитель" dataDxfId="9">
      <calculatedColumnFormula>RANDBETWEEN(4,6)</calculatedColumnFormula>
    </tableColumn>
    <tableColumn id="8" xr3:uid="{C4CC171A-0B2C-467C-8457-7AEE71762A84}" name="КЭ" dataDxfId="8">
      <calculatedColumnFormula>VLOOKUP(Таблица14[[#This Row],[Release]],Релизы!A:B,2,FALSE)</calculatedColumnFormula>
    </tableColumn>
    <tableColumn id="9" xr3:uid="{51096958-9621-4F6C-B879-89B8BD92B605}" name="Проектная область" dataDxfId="7"/>
    <tableColumn id="10" xr3:uid="{DF75F8FC-5D2E-47C3-9378-DBAB878F15A4}" name="Релиз" dataDxfId="6"/>
    <tableColumn id="11" xr3:uid="{BDE88148-1A7B-4851-8CD9-7D4B81DD0360}" name="Severity" dataDxfId="5"/>
    <tableColumn id="12" xr3:uid="{7AFB26EE-E38E-4885-A18F-1D6AA67B47F4}" name="Спринт" dataDxfId="4"/>
    <tableColumn id="19" xr3:uid="{46A501A8-A1A5-450E-B317-0905436F110D}" name="PullRequest" dataDxfId="3"/>
    <tableColumn id="20" xr3:uid="{92AE36FD-2CBE-4208-BFAD-6D8979E17227}" name="Release" dataDxfId="2"/>
    <tableColumn id="18" xr3:uid="{8712E427-1776-43CB-9DB1-80C70A2A7FC0}" name="Epic" dataDxfId="1"/>
  </tableColumns>
  <tableStyleInfo name="TableStyleLight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77615C6-31E3-4892-BB41-23F877238B12}" name="Таблица2" displayName="Таблица2" ref="A1:H25" totalsRowShown="0">
  <autoFilter ref="A1:H25" xr:uid="{E702A716-3C42-4A37-8725-1A9D1484DCE6}"/>
  <tableColumns count="8">
    <tableColumn id="1" xr3:uid="{FBD7DAF2-4F48-4BF4-89E1-6A1E0775BEBA}" name="Id"/>
    <tableColumn id="2" xr3:uid="{A82C7D56-4D44-40BF-8EEB-E0357C121EB7}" name="ProjectKey"/>
    <tableColumn id="3" xr3:uid="{F9757375-015F-4549-962C-F52801761BF3}" name="Name"/>
    <tableColumn id="4" xr3:uid="{576B0A50-ECCD-43E5-920A-C4D2F9B8BF69}" name="FinishDateTime"/>
    <tableColumn id="5" xr3:uid="{F6DDA1CA-79E3-4047-B073-10CC15B32458}" name="ExpectationDateTime"/>
    <tableColumn id="6" xr3:uid="{4D524EC8-66A8-4330-B28A-0177344CEC0D}" name="DeadlineDateTime"/>
    <tableColumn id="7" xr3:uid="{B4586899-265A-486E-A5E8-6B75C357EEC2}" name="TasksEstimationValue" dataDxfId="0">
      <calculatedColumnFormula>VLOOKUP(Таблица2[[#This Row],[Id]],'Сводные данные'!O:P,2,FALSE)</calculatedColumnFormula>
    </tableColumn>
    <tableColumn id="8" xr3:uid="{D3331BDC-3187-457F-9C93-3780FC986924}" name="Столбец7"/>
  </tableColumns>
  <tableStyleInfo name="TableStyleLight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A3DD711-75B2-4A29-9833-8DBDB6E1A99E}" name="Таблица5" displayName="Таблица5" ref="A1:N15" totalsRowShown="0">
  <autoFilter ref="A1:N15" xr:uid="{1DF7E093-AEEA-4B2C-B1C9-FEA7FBB51E5A}"/>
  <tableColumns count="14">
    <tableColumn id="1" xr3:uid="{B112A291-EC34-44E5-8D92-797A01E237C0}" name="ID"/>
    <tableColumn id="2" xr3:uid="{CCEDA560-09F4-475E-BD2F-A09FD6B3976E}" name="КЭ"/>
    <tableColumn id="3" xr3:uid="{533A2B00-D363-46E4-91FA-5E7112211B7C}" name="Name"/>
    <tableColumn id="4" xr3:uid="{D3B68946-4715-4FC5-B101-9AD01D6A5AD0}" name="StartDateTime"/>
    <tableColumn id="5" xr3:uid="{564EB0A2-2AD2-4C7D-BB59-2C579D9F94A6}" name="PlannedFinishDateTime"/>
    <tableColumn id="6" xr3:uid="{B9260A75-1FC2-44CA-95E2-D8BCF0B14172}" name="ActualFinishDateTime"/>
    <tableColumn id="7" xr3:uid="{8ED5ACEE-B278-4E9A-A13E-62DA21A30960}" name="PlannedIFTDateTime"/>
    <tableColumn id="8" xr3:uid="{DB082222-CAC2-4DB8-B4A6-449295BEF139}" name="ActualIFTDateTime"/>
    <tableColumn id="9" xr3:uid="{0307A850-CB42-448C-B5C4-29E7DE54BEFB}" name="PlannedATDateTime"/>
    <tableColumn id="10" xr3:uid="{6E8988A6-256F-4C37-9FB5-15D276E203CB}" name="ActualATDateTime"/>
    <tableColumn id="11" xr3:uid="{FCD9D1EB-1B38-401A-BEF9-21E5C183D863}" name="State"/>
    <tableColumn id="12" xr3:uid="{0558DB4C-774A-479F-A509-99DAF9638213}" name="StateId"/>
    <tableColumn id="13" xr3:uid="{00B2296E-967A-4968-9759-CFF407FFCD8D}" name="TasksEstimationValue"/>
    <tableColumn id="14" xr3:uid="{0DCB2D2A-B4FC-4798-84BC-558347335BCD}" name="TasksRemainderValue"/>
  </tableColumns>
  <tableStyleInfo name="TableStyleLight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888784B-BE41-4F23-A882-E014A967CD7D}" name="Таблица6" displayName="Таблица6" ref="A1:B10" totalsRowShown="0">
  <autoFilter ref="A1:B10" xr:uid="{41B4B8B8-B827-4489-913B-0530E2508736}"/>
  <tableColumns count="2">
    <tableColumn id="1" xr3:uid="{5255F0E7-CC71-4F8E-83DA-81EB1E26AE65}" name="Id"/>
    <tableColumn id="2" xr3:uid="{A66F2E5B-FE6D-496D-B2E7-8DA2AEB6E220}" name="Name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I@sb.ru" TargetMode="External"/><Relationship Id="rId7" Type="http://schemas.openxmlformats.org/officeDocument/2006/relationships/hyperlink" Target="mailto:o@sb.ru" TargetMode="External"/><Relationship Id="rId2" Type="http://schemas.openxmlformats.org/officeDocument/2006/relationships/hyperlink" Target="mailto:petrov@sb.ru" TargetMode="External"/><Relationship Id="rId1" Type="http://schemas.openxmlformats.org/officeDocument/2006/relationships/hyperlink" Target="mailto:I@sb.ru" TargetMode="External"/><Relationship Id="rId6" Type="http://schemas.openxmlformats.org/officeDocument/2006/relationships/hyperlink" Target="mailto:pet@sb.ru" TargetMode="External"/><Relationship Id="rId5" Type="http://schemas.openxmlformats.org/officeDocument/2006/relationships/hyperlink" Target="mailto:v@sb.ru" TargetMode="External"/><Relationship Id="rId4" Type="http://schemas.openxmlformats.org/officeDocument/2006/relationships/hyperlink" Target="mailto:s@sb.ru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96A9AB-064E-488D-B4A6-B2C971D05D72}">
  <sheetPr codeName="Лист1"/>
  <dimension ref="A1:D7"/>
  <sheetViews>
    <sheetView workbookViewId="0">
      <selection activeCell="A6" sqref="A6"/>
    </sheetView>
  </sheetViews>
  <sheetFormatPr defaultRowHeight="15" x14ac:dyDescent="0.25"/>
  <sheetData>
    <row r="1" spans="1:4" x14ac:dyDescent="0.25">
      <c r="A1" t="s">
        <v>0</v>
      </c>
      <c r="B1" t="s">
        <v>93</v>
      </c>
      <c r="C1" t="s">
        <v>1</v>
      </c>
      <c r="D1" t="s">
        <v>92</v>
      </c>
    </row>
    <row r="2" spans="1:4" x14ac:dyDescent="0.25">
      <c r="A2">
        <v>1</v>
      </c>
      <c r="B2" t="s">
        <v>94</v>
      </c>
      <c r="C2" t="s">
        <v>2</v>
      </c>
      <c r="D2" s="7" t="s">
        <v>99</v>
      </c>
    </row>
    <row r="3" spans="1:4" x14ac:dyDescent="0.25">
      <c r="A3">
        <v>2</v>
      </c>
      <c r="B3" t="s">
        <v>95</v>
      </c>
      <c r="C3" t="s">
        <v>3</v>
      </c>
      <c r="D3" s="7" t="s">
        <v>103</v>
      </c>
    </row>
    <row r="4" spans="1:4" x14ac:dyDescent="0.25">
      <c r="A4">
        <v>3</v>
      </c>
      <c r="B4" t="s">
        <v>96</v>
      </c>
      <c r="C4" t="s">
        <v>4</v>
      </c>
      <c r="D4" s="7" t="s">
        <v>100</v>
      </c>
    </row>
    <row r="5" spans="1:4" x14ac:dyDescent="0.25">
      <c r="A5">
        <v>4</v>
      </c>
      <c r="B5" t="s">
        <v>97</v>
      </c>
      <c r="C5" t="s">
        <v>5</v>
      </c>
      <c r="D5" s="7" t="s">
        <v>101</v>
      </c>
    </row>
    <row r="6" spans="1:4" x14ac:dyDescent="0.25">
      <c r="A6">
        <v>5</v>
      </c>
      <c r="B6" t="s">
        <v>98</v>
      </c>
      <c r="C6" t="s">
        <v>6</v>
      </c>
      <c r="D6" s="7" t="s">
        <v>102</v>
      </c>
    </row>
    <row r="7" spans="1:4" x14ac:dyDescent="0.25">
      <c r="A7">
        <v>6</v>
      </c>
      <c r="B7" t="s">
        <v>143</v>
      </c>
      <c r="C7" t="s">
        <v>144</v>
      </c>
      <c r="D7" s="7" t="s">
        <v>145</v>
      </c>
    </row>
  </sheetData>
  <hyperlinks>
    <hyperlink ref="D2" r:id="rId1" xr:uid="{52AB9C4C-D948-4FEC-9FF5-0AE99B414DAA}"/>
    <hyperlink ref="D3" r:id="rId2" xr:uid="{3F9C54D3-E5A5-47EA-8FA2-117807CB11A1}"/>
    <hyperlink ref="D4:D6" r:id="rId3" display="I@sb.ru" xr:uid="{2591377B-9614-4794-B121-1853D785CCE0}"/>
    <hyperlink ref="D4" r:id="rId4" xr:uid="{7531C192-E95D-4870-B1DC-8621C48E0915}"/>
    <hyperlink ref="D5" r:id="rId5" xr:uid="{FF65B8A3-C1BE-45C0-B59E-F28C715D6112}"/>
    <hyperlink ref="D6" r:id="rId6" xr:uid="{336C3EC4-B16A-4944-A531-C34604FA2257}"/>
    <hyperlink ref="D7" r:id="rId7" xr:uid="{6EC22E4C-E4EF-45FA-AC99-1CEC0878EF7F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4151D-F380-4BE4-AE06-8A5360EE031B}">
  <sheetPr codeName="Лист2"/>
  <dimension ref="A1:B11"/>
  <sheetViews>
    <sheetView workbookViewId="0">
      <selection activeCell="B12" sqref="B12"/>
    </sheetView>
  </sheetViews>
  <sheetFormatPr defaultRowHeight="15" x14ac:dyDescent="0.25"/>
  <sheetData>
    <row r="1" spans="1:2" x14ac:dyDescent="0.25">
      <c r="A1" t="s">
        <v>0</v>
      </c>
      <c r="B1" t="s">
        <v>7</v>
      </c>
    </row>
    <row r="2" spans="1:2" x14ac:dyDescent="0.25">
      <c r="A2">
        <v>1</v>
      </c>
      <c r="B2">
        <v>1</v>
      </c>
    </row>
    <row r="3" spans="1:2" x14ac:dyDescent="0.25">
      <c r="A3">
        <v>2</v>
      </c>
      <c r="B3">
        <v>2</v>
      </c>
    </row>
    <row r="4" spans="1:2" x14ac:dyDescent="0.25">
      <c r="A4">
        <v>3</v>
      </c>
      <c r="B4">
        <v>3</v>
      </c>
    </row>
    <row r="5" spans="1:2" x14ac:dyDescent="0.25">
      <c r="A5">
        <v>4</v>
      </c>
      <c r="B5">
        <v>4</v>
      </c>
    </row>
    <row r="6" spans="1:2" x14ac:dyDescent="0.25">
      <c r="A6">
        <v>5</v>
      </c>
      <c r="B6">
        <v>5</v>
      </c>
    </row>
    <row r="7" spans="1:2" x14ac:dyDescent="0.25">
      <c r="A7">
        <v>6</v>
      </c>
      <c r="B7">
        <v>6</v>
      </c>
    </row>
    <row r="8" spans="1:2" x14ac:dyDescent="0.25">
      <c r="A8">
        <v>7</v>
      </c>
      <c r="B8">
        <v>7</v>
      </c>
    </row>
    <row r="9" spans="1:2" x14ac:dyDescent="0.25">
      <c r="A9">
        <v>8</v>
      </c>
      <c r="B9">
        <v>8</v>
      </c>
    </row>
    <row r="10" spans="1:2" x14ac:dyDescent="0.25">
      <c r="A10">
        <v>9</v>
      </c>
      <c r="B10">
        <v>9</v>
      </c>
    </row>
    <row r="11" spans="1:2" x14ac:dyDescent="0.25">
      <c r="A11">
        <v>10</v>
      </c>
      <c r="B11">
        <v>10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D29E6F-134A-4014-BE40-58E982ABE193}">
  <sheetPr codeName="Лист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0DC3D9-7019-4198-8EA0-5A8383CDC7A2}">
  <sheetPr codeName="Лист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1246F-AA70-446A-904A-A0DBC97E2EA6}">
  <sheetPr codeName="Лист5"/>
  <dimension ref="A1:H17"/>
  <sheetViews>
    <sheetView workbookViewId="0"/>
  </sheetViews>
  <sheetFormatPr defaultRowHeight="15" x14ac:dyDescent="0.25"/>
  <cols>
    <col min="2" max="2" width="14.140625" customWidth="1"/>
    <col min="3" max="3" width="13.28515625" customWidth="1"/>
    <col min="4" max="4" width="12.7109375" customWidth="1"/>
    <col min="5" max="5" width="13.28515625" customWidth="1"/>
    <col min="6" max="7" width="22.42578125" customWidth="1"/>
    <col min="8" max="9" width="9.42578125" customWidth="1"/>
    <col min="11" max="11" width="17.28515625" bestFit="1" customWidth="1"/>
    <col min="12" max="12" width="7.28515625" bestFit="1" customWidth="1"/>
    <col min="13" max="13" width="8.5703125" bestFit="1" customWidth="1"/>
  </cols>
  <sheetData>
    <row r="1" spans="1:8" x14ac:dyDescent="0.25">
      <c r="A1" t="s">
        <v>0</v>
      </c>
      <c r="B1" t="s">
        <v>8</v>
      </c>
      <c r="C1" t="s">
        <v>9</v>
      </c>
      <c r="D1" t="s">
        <v>116</v>
      </c>
      <c r="E1" t="s">
        <v>133</v>
      </c>
      <c r="F1" t="s">
        <v>135</v>
      </c>
      <c r="G1" t="s">
        <v>132</v>
      </c>
      <c r="H1" t="s">
        <v>136</v>
      </c>
    </row>
    <row r="2" spans="1:8" x14ac:dyDescent="0.25">
      <c r="A2">
        <v>1</v>
      </c>
      <c r="B2" s="1">
        <v>43710</v>
      </c>
      <c r="C2" s="1">
        <v>43723</v>
      </c>
      <c r="D2" t="s">
        <v>146</v>
      </c>
      <c r="E2" t="s">
        <v>141</v>
      </c>
      <c r="F2">
        <v>80</v>
      </c>
      <c r="G2">
        <f>VLOOKUP(Таблица4[[#This Row],[ID]],'Сводные данные'!B:C,2,FALSE)</f>
        <v>53</v>
      </c>
      <c r="H2">
        <v>3</v>
      </c>
    </row>
    <row r="3" spans="1:8" x14ac:dyDescent="0.25">
      <c r="A3">
        <v>2</v>
      </c>
      <c r="B3" s="1">
        <v>43710</v>
      </c>
      <c r="C3" s="1">
        <v>43723</v>
      </c>
      <c r="D3" t="s">
        <v>146</v>
      </c>
      <c r="E3" t="s">
        <v>142</v>
      </c>
      <c r="F3">
        <v>80</v>
      </c>
      <c r="G3">
        <f>VLOOKUP(Таблица4[[#This Row],[ID]],'Сводные данные'!B:C,2,FALSE)</f>
        <v>86</v>
      </c>
      <c r="H3">
        <v>3</v>
      </c>
    </row>
    <row r="4" spans="1:8" x14ac:dyDescent="0.25">
      <c r="A4">
        <v>3</v>
      </c>
      <c r="B4" s="1">
        <v>43724</v>
      </c>
      <c r="C4" s="1">
        <v>43737</v>
      </c>
      <c r="D4" t="s">
        <v>146</v>
      </c>
      <c r="E4" t="s">
        <v>141</v>
      </c>
      <c r="F4">
        <v>80</v>
      </c>
      <c r="G4">
        <f>VLOOKUP(Таблица4[[#This Row],[ID]],'Сводные данные'!B:C,2,FALSE)</f>
        <v>50</v>
      </c>
      <c r="H4">
        <v>3</v>
      </c>
    </row>
    <row r="5" spans="1:8" x14ac:dyDescent="0.25">
      <c r="A5">
        <v>4</v>
      </c>
      <c r="B5" s="1">
        <v>43724</v>
      </c>
      <c r="C5" s="1">
        <v>43737</v>
      </c>
      <c r="D5" t="s">
        <v>146</v>
      </c>
      <c r="E5" t="s">
        <v>142</v>
      </c>
      <c r="F5">
        <v>80</v>
      </c>
      <c r="G5">
        <f>VLOOKUP(Таблица4[[#This Row],[ID]],'Сводные данные'!B:C,2,FALSE)</f>
        <v>43</v>
      </c>
      <c r="H5">
        <v>3</v>
      </c>
    </row>
    <row r="6" spans="1:8" x14ac:dyDescent="0.25">
      <c r="A6">
        <v>5</v>
      </c>
      <c r="B6" s="1">
        <v>43710</v>
      </c>
      <c r="C6" s="1">
        <v>43723</v>
      </c>
      <c r="D6" t="s">
        <v>146</v>
      </c>
      <c r="E6" t="s">
        <v>141</v>
      </c>
      <c r="F6">
        <v>80</v>
      </c>
      <c r="G6">
        <f>VLOOKUP(Таблица4[[#This Row],[ID]],'Сводные данные'!B:C,2,FALSE)</f>
        <v>50</v>
      </c>
      <c r="H6">
        <v>3</v>
      </c>
    </row>
    <row r="7" spans="1:8" x14ac:dyDescent="0.25">
      <c r="A7">
        <v>6</v>
      </c>
      <c r="B7" s="1">
        <v>43710</v>
      </c>
      <c r="C7" s="1">
        <v>43723</v>
      </c>
      <c r="D7" t="s">
        <v>146</v>
      </c>
      <c r="E7" t="s">
        <v>142</v>
      </c>
      <c r="F7">
        <v>80</v>
      </c>
      <c r="G7">
        <f>VLOOKUP(Таблица4[[#This Row],[ID]],'Сводные данные'!B:C,2,FALSE)</f>
        <v>78</v>
      </c>
      <c r="H7">
        <v>3</v>
      </c>
    </row>
    <row r="8" spans="1:8" x14ac:dyDescent="0.25">
      <c r="A8">
        <v>7</v>
      </c>
      <c r="B8" s="1">
        <v>43724</v>
      </c>
      <c r="C8" s="1">
        <v>43737</v>
      </c>
      <c r="D8" t="s">
        <v>146</v>
      </c>
      <c r="E8" t="s">
        <v>141</v>
      </c>
      <c r="F8">
        <v>80</v>
      </c>
      <c r="G8">
        <f>VLOOKUP(Таблица4[[#This Row],[ID]],'Сводные данные'!B:C,2,FALSE)</f>
        <v>72</v>
      </c>
      <c r="H8">
        <v>2</v>
      </c>
    </row>
    <row r="9" spans="1:8" x14ac:dyDescent="0.25">
      <c r="A9">
        <v>8</v>
      </c>
      <c r="B9" s="1">
        <v>43724</v>
      </c>
      <c r="C9" s="1">
        <v>43737</v>
      </c>
      <c r="D9" t="s">
        <v>146</v>
      </c>
      <c r="E9" t="s">
        <v>142</v>
      </c>
      <c r="F9">
        <v>80</v>
      </c>
      <c r="G9">
        <f>VLOOKUP(Таблица4[[#This Row],[ID]],'Сводные данные'!B:C,2,FALSE)</f>
        <v>59</v>
      </c>
      <c r="H9">
        <v>2</v>
      </c>
    </row>
    <row r="10" spans="1:8" x14ac:dyDescent="0.25">
      <c r="A10">
        <v>9</v>
      </c>
      <c r="B10" s="1">
        <v>43738</v>
      </c>
      <c r="C10" s="1">
        <v>43751</v>
      </c>
      <c r="D10" t="s">
        <v>146</v>
      </c>
      <c r="E10" t="s">
        <v>141</v>
      </c>
      <c r="F10">
        <v>80</v>
      </c>
      <c r="G10">
        <f>VLOOKUP(Таблица4[[#This Row],[ID]],'Сводные данные'!B:C,2,FALSE)</f>
        <v>102</v>
      </c>
      <c r="H10">
        <v>1</v>
      </c>
    </row>
    <row r="11" spans="1:8" x14ac:dyDescent="0.25">
      <c r="A11">
        <v>10</v>
      </c>
      <c r="B11" s="1">
        <v>43738</v>
      </c>
      <c r="C11" s="1">
        <v>43751</v>
      </c>
      <c r="D11" t="s">
        <v>146</v>
      </c>
      <c r="E11" t="s">
        <v>142</v>
      </c>
      <c r="F11">
        <v>80</v>
      </c>
      <c r="G11">
        <f>VLOOKUP(Таблица4[[#This Row],[ID]],'Сводные данные'!B:C,2,FALSE)</f>
        <v>91</v>
      </c>
      <c r="H11">
        <v>1</v>
      </c>
    </row>
    <row r="12" spans="1:8" x14ac:dyDescent="0.25">
      <c r="A12">
        <v>11</v>
      </c>
      <c r="B12" s="1">
        <v>43752</v>
      </c>
      <c r="C12" s="1">
        <v>43765</v>
      </c>
      <c r="D12" t="s">
        <v>146</v>
      </c>
      <c r="E12" t="s">
        <v>141</v>
      </c>
      <c r="F12">
        <v>80</v>
      </c>
      <c r="G12">
        <f>VLOOKUP(Таблица4[[#This Row],[ID]],'Сводные данные'!B:C,2,FALSE)</f>
        <v>78</v>
      </c>
      <c r="H12">
        <v>1</v>
      </c>
    </row>
    <row r="13" spans="1:8" x14ac:dyDescent="0.25">
      <c r="A13">
        <v>12</v>
      </c>
      <c r="B13" s="1">
        <v>43752</v>
      </c>
      <c r="C13" s="1">
        <v>43765</v>
      </c>
      <c r="D13" t="s">
        <v>146</v>
      </c>
      <c r="E13" t="s">
        <v>142</v>
      </c>
      <c r="F13">
        <v>80</v>
      </c>
      <c r="G13">
        <f>VLOOKUP(Таблица4[[#This Row],[ID]],'Сводные данные'!B:C,2,FALSE)</f>
        <v>68</v>
      </c>
      <c r="H13">
        <v>1</v>
      </c>
    </row>
    <row r="14" spans="1:8" x14ac:dyDescent="0.25">
      <c r="A14">
        <v>13</v>
      </c>
      <c r="B14" s="1">
        <v>43766</v>
      </c>
      <c r="C14" s="1">
        <v>43779</v>
      </c>
      <c r="D14" t="s">
        <v>146</v>
      </c>
      <c r="E14" t="s">
        <v>141</v>
      </c>
      <c r="F14">
        <v>80</v>
      </c>
      <c r="G14">
        <f>VLOOKUP(Таблица4[[#This Row],[ID]],'Сводные данные'!B:C,2,FALSE)</f>
        <v>77</v>
      </c>
      <c r="H14">
        <v>1</v>
      </c>
    </row>
    <row r="15" spans="1:8" x14ac:dyDescent="0.25">
      <c r="A15">
        <v>14</v>
      </c>
      <c r="B15" s="1">
        <v>43766</v>
      </c>
      <c r="C15" s="1">
        <v>43779</v>
      </c>
      <c r="D15" t="s">
        <v>146</v>
      </c>
      <c r="E15" t="s">
        <v>142</v>
      </c>
      <c r="F15">
        <v>80</v>
      </c>
      <c r="G15">
        <f>VLOOKUP(Таблица4[[#This Row],[ID]],'Сводные данные'!B:C,2,FALSE)</f>
        <v>48</v>
      </c>
      <c r="H15">
        <v>1</v>
      </c>
    </row>
    <row r="16" spans="1:8" x14ac:dyDescent="0.25">
      <c r="A16">
        <v>15</v>
      </c>
      <c r="B16" s="1">
        <v>43780</v>
      </c>
      <c r="C16" s="1">
        <v>43793</v>
      </c>
      <c r="D16" t="s">
        <v>146</v>
      </c>
      <c r="E16" t="s">
        <v>141</v>
      </c>
      <c r="F16">
        <v>80</v>
      </c>
      <c r="G16">
        <f>VLOOKUP(Таблица4[[#This Row],[ID]],'Сводные данные'!B:C,2,FALSE)</f>
        <v>90</v>
      </c>
      <c r="H16">
        <v>1</v>
      </c>
    </row>
    <row r="17" spans="1:8" x14ac:dyDescent="0.25">
      <c r="A17">
        <v>16</v>
      </c>
      <c r="B17" s="1">
        <v>43780</v>
      </c>
      <c r="C17" s="1">
        <v>43793</v>
      </c>
      <c r="D17" t="s">
        <v>146</v>
      </c>
      <c r="E17" t="s">
        <v>142</v>
      </c>
      <c r="F17">
        <v>80</v>
      </c>
      <c r="G17">
        <f>VLOOKUP(Таблица4[[#This Row],[ID]],'Сводные данные'!B:C,2,FALSE)</f>
        <v>110</v>
      </c>
      <c r="H17">
        <v>1</v>
      </c>
    </row>
  </sheetData>
  <phoneticPr fontId="3" type="noConversion"/>
  <pageMargins left="0.7" right="0.7" top="0.75" bottom="0.75" header="0.3" footer="0.3"/>
  <ignoredErrors>
    <ignoredError sqref="F2:F17" calculatedColumn="1"/>
  </ignoredErrors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335FF-C848-40B0-8729-6EF3403DD296}">
  <sheetPr codeName="Лист6"/>
  <dimension ref="A1:B4"/>
  <sheetViews>
    <sheetView workbookViewId="0">
      <selection activeCell="B4" sqref="B4"/>
    </sheetView>
  </sheetViews>
  <sheetFormatPr defaultRowHeight="15" x14ac:dyDescent="0.25"/>
  <sheetData>
    <row r="1" spans="1:2" x14ac:dyDescent="0.25">
      <c r="A1" t="s">
        <v>114</v>
      </c>
      <c r="B1" t="s">
        <v>107</v>
      </c>
    </row>
    <row r="2" spans="1:2" x14ac:dyDescent="0.25">
      <c r="A2">
        <v>1</v>
      </c>
      <c r="B2" t="s">
        <v>137</v>
      </c>
    </row>
    <row r="3" spans="1:2" x14ac:dyDescent="0.25">
      <c r="A3">
        <v>2</v>
      </c>
      <c r="B3" t="s">
        <v>140</v>
      </c>
    </row>
    <row r="4" spans="1:2" x14ac:dyDescent="0.25">
      <c r="A4">
        <v>3</v>
      </c>
      <c r="B4" t="s">
        <v>139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648E4-130C-4D6A-B9C3-320E3116F9BF}">
  <sheetPr codeName="Лист7"/>
  <dimension ref="A1:B7"/>
  <sheetViews>
    <sheetView workbookViewId="0">
      <selection activeCell="C5" sqref="C5"/>
    </sheetView>
  </sheetViews>
  <sheetFormatPr defaultRowHeight="15" x14ac:dyDescent="0.25"/>
  <sheetData>
    <row r="1" spans="1:2" x14ac:dyDescent="0.25">
      <c r="A1" t="s">
        <v>0</v>
      </c>
      <c r="B1" t="s">
        <v>7</v>
      </c>
    </row>
    <row r="2" spans="1:2" x14ac:dyDescent="0.25">
      <c r="A2">
        <v>1</v>
      </c>
      <c r="B2" t="s">
        <v>82</v>
      </c>
    </row>
    <row r="3" spans="1:2" x14ac:dyDescent="0.25">
      <c r="A3">
        <v>2</v>
      </c>
      <c r="B3" t="s">
        <v>83</v>
      </c>
    </row>
    <row r="4" spans="1:2" x14ac:dyDescent="0.25">
      <c r="A4">
        <v>3</v>
      </c>
      <c r="B4" t="s">
        <v>110</v>
      </c>
    </row>
    <row r="5" spans="1:2" x14ac:dyDescent="0.25">
      <c r="A5">
        <v>4</v>
      </c>
      <c r="B5" t="s">
        <v>84</v>
      </c>
    </row>
    <row r="6" spans="1:2" x14ac:dyDescent="0.25">
      <c r="A6">
        <v>5</v>
      </c>
      <c r="B6" t="s">
        <v>85</v>
      </c>
    </row>
    <row r="7" spans="1:2" x14ac:dyDescent="0.25">
      <c r="A7">
        <v>6</v>
      </c>
      <c r="B7" t="s">
        <v>86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CDDD39-2A40-4FDB-B8EF-278EB1225EF2}">
  <sheetPr codeName="Лист8"/>
  <dimension ref="A1:W100"/>
  <sheetViews>
    <sheetView workbookViewId="0">
      <selection activeCell="D1" sqref="D1:D1048576"/>
    </sheetView>
  </sheetViews>
  <sheetFormatPr defaultRowHeight="15" x14ac:dyDescent="0.25"/>
  <cols>
    <col min="1" max="1" width="5" style="2" customWidth="1"/>
    <col min="2" max="2" width="12" style="2" bestFit="1" customWidth="1"/>
    <col min="3" max="3" width="12" style="2" customWidth="1"/>
    <col min="4" max="6" width="32.42578125" style="2" customWidth="1"/>
    <col min="7" max="7" width="8.85546875" style="2" customWidth="1"/>
    <col min="8" max="8" width="24.85546875" style="2" customWidth="1"/>
    <col min="9" max="9" width="22" style="2" customWidth="1"/>
    <col min="10" max="10" width="17.7109375" style="2" customWidth="1"/>
    <col min="11" max="11" width="15.28515625" style="2" customWidth="1"/>
    <col min="12" max="12" width="5.42578125" style="2" customWidth="1"/>
    <col min="13" max="13" width="20.42578125" style="2" customWidth="1"/>
    <col min="14" max="14" width="8.5703125" style="2" customWidth="1"/>
    <col min="15" max="15" width="6.42578125" style="2" customWidth="1"/>
    <col min="16" max="19" width="9.7109375" style="2" customWidth="1"/>
    <col min="20" max="20" width="9.140625" style="2"/>
    <col min="21" max="21" width="17.28515625" style="2" bestFit="1" customWidth="1"/>
    <col min="22" max="23" width="6" style="2" bestFit="1" customWidth="1"/>
    <col min="24" max="16384" width="9.140625" style="2"/>
  </cols>
  <sheetData>
    <row r="1" spans="1:23" x14ac:dyDescent="0.25">
      <c r="A1" s="2" t="s">
        <v>0</v>
      </c>
      <c r="B1" s="2" t="s">
        <v>105</v>
      </c>
      <c r="C1" s="2" t="s">
        <v>106</v>
      </c>
      <c r="D1" s="2" t="s">
        <v>107</v>
      </c>
      <c r="E1" s="8" t="s">
        <v>109</v>
      </c>
      <c r="F1" s="8" t="s">
        <v>159</v>
      </c>
      <c r="G1" s="2" t="s">
        <v>10</v>
      </c>
      <c r="H1" s="2" t="s">
        <v>11</v>
      </c>
      <c r="I1" s="2" t="s">
        <v>12</v>
      </c>
      <c r="J1" s="2" t="s">
        <v>13</v>
      </c>
      <c r="K1" s="2" t="s">
        <v>14</v>
      </c>
      <c r="L1" s="2" t="s">
        <v>15</v>
      </c>
      <c r="M1" s="2" t="s">
        <v>16</v>
      </c>
      <c r="N1" s="2" t="s">
        <v>17</v>
      </c>
      <c r="O1" s="2" t="s">
        <v>108</v>
      </c>
      <c r="P1" s="2" t="s">
        <v>18</v>
      </c>
      <c r="Q1" s="2" t="s">
        <v>111</v>
      </c>
      <c r="R1" s="2" t="s">
        <v>112</v>
      </c>
      <c r="S1" s="2" t="s">
        <v>113</v>
      </c>
    </row>
    <row r="2" spans="1:23" x14ac:dyDescent="0.25">
      <c r="A2" s="2">
        <v>1</v>
      </c>
      <c r="B2" s="2" t="str">
        <f>"MR-"&amp;Таблица1[[#This Row],[ID]]</f>
        <v>MR-1</v>
      </c>
      <c r="C2" s="2">
        <v>1</v>
      </c>
      <c r="D2" s="3" t="s">
        <v>19</v>
      </c>
      <c r="E2" s="9">
        <f ca="1">Таблица1[[#Headers],[01.май]]+RANDBETWEEN(1,3)+E1-Таблица1[[#Headers],[01.май]]</f>
        <v>43587</v>
      </c>
      <c r="F2" s="9">
        <f ca="1">Таблица1[[#This Row],[01.май]]+RANDBETWEEN(1,10)</f>
        <v>43590</v>
      </c>
      <c r="G2" s="2">
        <v>4</v>
      </c>
      <c r="H2">
        <f t="shared" ref="H2:H33" ca="1" si="0">RANDBETWEEN(1,10)</f>
        <v>8</v>
      </c>
      <c r="I2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7</v>
      </c>
      <c r="J2" s="2">
        <v>0</v>
      </c>
      <c r="K2" s="2">
        <f t="shared" ref="K2:K33" ca="1" si="1">RANDBETWEEN(1,3)</f>
        <v>3</v>
      </c>
      <c r="L2" s="2">
        <f>VLOOKUP(Таблица1[[#This Row],[Release]],Релизы!A:B,2,FALSE)</f>
        <v>3</v>
      </c>
      <c r="M2" s="2" t="s">
        <v>146</v>
      </c>
      <c r="N2" s="2">
        <v>5</v>
      </c>
      <c r="O2" s="2">
        <f t="shared" ref="O2:O33" ca="1" si="2">IF(RANDBETWEEN(0,10)&gt;5,1,0)</f>
        <v>0</v>
      </c>
      <c r="P2" s="2">
        <v>1</v>
      </c>
      <c r="Q2" s="2">
        <f>Таблица1[[#This Row],[ID]]</f>
        <v>1</v>
      </c>
      <c r="R2" s="2">
        <v>8</v>
      </c>
      <c r="S2" s="2">
        <f t="shared" ref="S2:S22" ca="1" si="3">RANDBETWEEN(1,5)</f>
        <v>4</v>
      </c>
    </row>
    <row r="3" spans="1:23" x14ac:dyDescent="0.25">
      <c r="A3" s="2">
        <v>3</v>
      </c>
      <c r="B3" s="2" t="str">
        <f>"MR-"&amp;Таблица1[[#This Row],[ID]]</f>
        <v>MR-3</v>
      </c>
      <c r="C3" s="2">
        <v>3</v>
      </c>
      <c r="D3" s="3" t="s">
        <v>192</v>
      </c>
      <c r="E3" s="9">
        <f ca="1">Таблица1[[#Headers],[01.май]]+RANDBETWEEN(1,3)+E2-Таблица1[[#Headers],[01.май]]</f>
        <v>43589</v>
      </c>
      <c r="F3" s="9">
        <f ca="1">Таблица1[[#This Row],[01.май]]+RANDBETWEEN(1,10)</f>
        <v>43590</v>
      </c>
      <c r="G3" s="2">
        <v>4</v>
      </c>
      <c r="H3">
        <f t="shared" ca="1" si="0"/>
        <v>6</v>
      </c>
      <c r="I3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5</v>
      </c>
      <c r="J3" s="2">
        <v>0</v>
      </c>
      <c r="K3" s="2">
        <f t="shared" ca="1" si="1"/>
        <v>3</v>
      </c>
      <c r="L3" s="2">
        <f>VLOOKUP(Таблица1[[#This Row],[Release]],Релизы!A:B,2,FALSE)</f>
        <v>3</v>
      </c>
      <c r="M3" s="2" t="s">
        <v>146</v>
      </c>
      <c r="N3" s="2">
        <v>5</v>
      </c>
      <c r="O3" s="2">
        <f t="shared" ca="1" si="2"/>
        <v>0</v>
      </c>
      <c r="P3" s="2">
        <v>1</v>
      </c>
      <c r="Q3" s="2">
        <f>Таблица1[[#This Row],[ID]]</f>
        <v>3</v>
      </c>
      <c r="R3" s="2">
        <v>8</v>
      </c>
      <c r="S3" s="2">
        <f t="shared" ca="1" si="3"/>
        <v>4</v>
      </c>
    </row>
    <row r="4" spans="1:23" x14ac:dyDescent="0.25">
      <c r="A4" s="2">
        <v>5</v>
      </c>
      <c r="B4" s="2" t="str">
        <f>"MR-"&amp;Таблица1[[#This Row],[ID]]</f>
        <v>MR-5</v>
      </c>
      <c r="C4" s="2">
        <v>3</v>
      </c>
      <c r="D4" s="3" t="s">
        <v>193</v>
      </c>
      <c r="E4" s="9">
        <f ca="1">Таблица1[[#Headers],[01.май]]+RANDBETWEEN(1,3)+E3-Таблица1[[#Headers],[01.май]]</f>
        <v>43590</v>
      </c>
      <c r="F4" s="9">
        <f ca="1">Таблица1[[#This Row],[01.май]]+RANDBETWEEN(1,10)</f>
        <v>43597</v>
      </c>
      <c r="G4" s="2">
        <v>4</v>
      </c>
      <c r="H4">
        <f t="shared" ca="1" si="0"/>
        <v>9</v>
      </c>
      <c r="I4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8</v>
      </c>
      <c r="J4" s="2">
        <v>0</v>
      </c>
      <c r="K4" s="2">
        <f t="shared" ca="1" si="1"/>
        <v>1</v>
      </c>
      <c r="L4" s="2">
        <f>VLOOKUP(Таблица1[[#This Row],[Release]],Релизы!A:B,2,FALSE)</f>
        <v>3</v>
      </c>
      <c r="M4" s="2" t="s">
        <v>146</v>
      </c>
      <c r="N4" s="2">
        <v>5</v>
      </c>
      <c r="O4" s="2">
        <f t="shared" ca="1" si="2"/>
        <v>0</v>
      </c>
      <c r="P4" s="2">
        <v>1</v>
      </c>
      <c r="Q4" s="2">
        <f>Таблица1[[#This Row],[ID]]</f>
        <v>5</v>
      </c>
      <c r="R4" s="2">
        <v>8</v>
      </c>
      <c r="S4" s="2">
        <f t="shared" ca="1" si="3"/>
        <v>3</v>
      </c>
    </row>
    <row r="5" spans="1:23" x14ac:dyDescent="0.25">
      <c r="A5" s="2">
        <v>7</v>
      </c>
      <c r="B5" s="2" t="str">
        <f>"MR-"&amp;Таблица1[[#This Row],[ID]]</f>
        <v>MR-7</v>
      </c>
      <c r="C5" s="2">
        <v>1</v>
      </c>
      <c r="D5" s="3" t="s">
        <v>194</v>
      </c>
      <c r="E5" s="9">
        <f ca="1">Таблица1[[#Headers],[01.май]]+RANDBETWEEN(1,3)+E4-Таблица1[[#Headers],[01.май]]</f>
        <v>43593</v>
      </c>
      <c r="F5" s="9">
        <f ca="1">Таблица1[[#This Row],[01.май]]+RANDBETWEEN(1,10)</f>
        <v>43600</v>
      </c>
      <c r="G5" s="2">
        <v>4</v>
      </c>
      <c r="H5">
        <f t="shared" ca="1" si="0"/>
        <v>3</v>
      </c>
      <c r="I5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3</v>
      </c>
      <c r="J5" s="2">
        <v>0</v>
      </c>
      <c r="K5" s="2">
        <f t="shared" ca="1" si="1"/>
        <v>2</v>
      </c>
      <c r="L5" s="2">
        <f>VLOOKUP(Таблица1[[#This Row],[Release]],Релизы!A:B,2,FALSE)</f>
        <v>3</v>
      </c>
      <c r="M5" s="2" t="s">
        <v>146</v>
      </c>
      <c r="N5" s="2">
        <v>5</v>
      </c>
      <c r="O5" s="2">
        <f t="shared" ca="1" si="2"/>
        <v>1</v>
      </c>
      <c r="P5" s="2">
        <v>1</v>
      </c>
      <c r="Q5" s="2">
        <f>Таблица1[[#This Row],[ID]]</f>
        <v>7</v>
      </c>
      <c r="R5" s="2">
        <v>8</v>
      </c>
      <c r="S5" s="2">
        <f t="shared" ca="1" si="3"/>
        <v>4</v>
      </c>
    </row>
    <row r="6" spans="1:23" x14ac:dyDescent="0.25">
      <c r="A6" s="2">
        <v>9</v>
      </c>
      <c r="B6" s="2" t="str">
        <f>"MR-"&amp;Таблица1[[#This Row],[ID]]</f>
        <v>MR-9</v>
      </c>
      <c r="C6" s="2">
        <v>1</v>
      </c>
      <c r="D6" s="3" t="s">
        <v>20</v>
      </c>
      <c r="E6" s="9">
        <f ca="1">Таблица1[[#Headers],[01.май]]+RANDBETWEEN(1,3)+E5-Таблица1[[#Headers],[01.май]]</f>
        <v>43595</v>
      </c>
      <c r="F6" s="9">
        <f ca="1">Таблица1[[#This Row],[01.май]]+RANDBETWEEN(1,10)</f>
        <v>43601</v>
      </c>
      <c r="G6" s="2">
        <v>4</v>
      </c>
      <c r="H6">
        <f t="shared" ca="1" si="0"/>
        <v>3</v>
      </c>
      <c r="I6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3</v>
      </c>
      <c r="J6" s="2">
        <v>0</v>
      </c>
      <c r="K6" s="2">
        <f t="shared" ca="1" si="1"/>
        <v>2</v>
      </c>
      <c r="L6" s="2">
        <f>VLOOKUP(Таблица1[[#This Row],[Release]],Релизы!A:B,2,FALSE)</f>
        <v>3</v>
      </c>
      <c r="M6" s="2" t="s">
        <v>146</v>
      </c>
      <c r="N6" s="2">
        <v>5</v>
      </c>
      <c r="O6" s="2">
        <f t="shared" ca="1" si="2"/>
        <v>0</v>
      </c>
      <c r="P6" s="2">
        <v>1</v>
      </c>
      <c r="Q6" s="2">
        <f>Таблица1[[#This Row],[ID]]</f>
        <v>9</v>
      </c>
      <c r="R6" s="2">
        <v>8</v>
      </c>
      <c r="S6" s="2">
        <f t="shared" ca="1" si="3"/>
        <v>2</v>
      </c>
    </row>
    <row r="7" spans="1:23" x14ac:dyDescent="0.25">
      <c r="A7" s="2">
        <v>11</v>
      </c>
      <c r="B7" s="2" t="str">
        <f>"MR-"&amp;Таблица1[[#This Row],[ID]]</f>
        <v>MR-11</v>
      </c>
      <c r="C7" s="2">
        <v>5</v>
      </c>
      <c r="D7" s="3" t="s">
        <v>195</v>
      </c>
      <c r="E7" s="9">
        <f ca="1">Таблица1[[#Headers],[01.май]]+RANDBETWEEN(1,3)+E6-Таблица1[[#Headers],[01.май]]</f>
        <v>43596</v>
      </c>
      <c r="F7" s="9">
        <f ca="1">Таблица1[[#This Row],[01.май]]+RANDBETWEEN(1,10)</f>
        <v>43599</v>
      </c>
      <c r="G7" s="2">
        <v>4</v>
      </c>
      <c r="H7">
        <f t="shared" ca="1" si="0"/>
        <v>2</v>
      </c>
      <c r="I7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2</v>
      </c>
      <c r="J7" s="2">
        <v>0</v>
      </c>
      <c r="K7" s="2">
        <f t="shared" ca="1" si="1"/>
        <v>1</v>
      </c>
      <c r="L7" s="2">
        <f>VLOOKUP(Таблица1[[#This Row],[Release]],Релизы!A:B,2,FALSE)</f>
        <v>3</v>
      </c>
      <c r="M7" s="2" t="s">
        <v>146</v>
      </c>
      <c r="N7" s="2">
        <v>5</v>
      </c>
      <c r="O7" s="2">
        <f t="shared" ca="1" si="2"/>
        <v>0</v>
      </c>
      <c r="P7" s="2">
        <v>1</v>
      </c>
      <c r="Q7" s="2">
        <f>Таблица1[[#This Row],[ID]]</f>
        <v>11</v>
      </c>
      <c r="R7" s="2">
        <v>8</v>
      </c>
      <c r="S7" s="2">
        <f t="shared" ca="1" si="3"/>
        <v>2</v>
      </c>
    </row>
    <row r="8" spans="1:23" x14ac:dyDescent="0.25">
      <c r="A8" s="2">
        <v>13</v>
      </c>
      <c r="B8" s="2" t="str">
        <f>"MR-"&amp;Таблица1[[#This Row],[ID]]</f>
        <v>MR-13</v>
      </c>
      <c r="C8" s="2">
        <v>4</v>
      </c>
      <c r="D8" s="3" t="s">
        <v>196</v>
      </c>
      <c r="E8" s="9">
        <f ca="1">Таблица1[[#Headers],[01.май]]+RANDBETWEEN(1,3)+E7-Таблица1[[#Headers],[01.май]]</f>
        <v>43597</v>
      </c>
      <c r="F8" s="9">
        <f ca="1">Таблица1[[#This Row],[01.май]]+RANDBETWEEN(1,10)</f>
        <v>43600</v>
      </c>
      <c r="G8" s="2">
        <v>4</v>
      </c>
      <c r="H8">
        <f t="shared" ca="1" si="0"/>
        <v>10</v>
      </c>
      <c r="I8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9</v>
      </c>
      <c r="J8" s="2">
        <v>0</v>
      </c>
      <c r="K8" s="2">
        <f t="shared" ca="1" si="1"/>
        <v>1</v>
      </c>
      <c r="L8" s="2">
        <f>VLOOKUP(Таблица1[[#This Row],[Release]],Релизы!A:B,2,FALSE)</f>
        <v>3</v>
      </c>
      <c r="M8" s="2" t="s">
        <v>146</v>
      </c>
      <c r="N8" s="2">
        <v>5</v>
      </c>
      <c r="O8" s="2">
        <f t="shared" ca="1" si="2"/>
        <v>1</v>
      </c>
      <c r="P8" s="2">
        <v>1</v>
      </c>
      <c r="Q8" s="2">
        <f>Таблица1[[#This Row],[ID]]</f>
        <v>13</v>
      </c>
      <c r="R8" s="2">
        <v>8</v>
      </c>
      <c r="S8" s="2">
        <f t="shared" ca="1" si="3"/>
        <v>1</v>
      </c>
    </row>
    <row r="9" spans="1:23" x14ac:dyDescent="0.25">
      <c r="A9" s="2">
        <v>15</v>
      </c>
      <c r="B9" s="2" t="str">
        <f>"MR-"&amp;Таблица1[[#This Row],[ID]]</f>
        <v>MR-15</v>
      </c>
      <c r="C9" s="2">
        <v>4</v>
      </c>
      <c r="D9" s="3" t="s">
        <v>21</v>
      </c>
      <c r="E9" s="9">
        <f ca="1">Таблица1[[#Headers],[01.май]]+RANDBETWEEN(1,3)+E8-Таблица1[[#Headers],[01.май]]</f>
        <v>43600</v>
      </c>
      <c r="F9" s="9">
        <f ca="1">Таблица1[[#This Row],[01.май]]+RANDBETWEEN(1,10)</f>
        <v>43610</v>
      </c>
      <c r="G9" s="2">
        <v>4</v>
      </c>
      <c r="H9">
        <f t="shared" ca="1" si="0"/>
        <v>4</v>
      </c>
      <c r="I9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4</v>
      </c>
      <c r="J9" s="2">
        <v>0</v>
      </c>
      <c r="K9" s="2">
        <f t="shared" ca="1" si="1"/>
        <v>1</v>
      </c>
      <c r="L9" s="2">
        <f>VLOOKUP(Таблица1[[#This Row],[Release]],Релизы!A:B,2,FALSE)</f>
        <v>3</v>
      </c>
      <c r="M9" s="2" t="s">
        <v>146</v>
      </c>
      <c r="N9" s="2">
        <v>5</v>
      </c>
      <c r="O9" s="2">
        <f t="shared" ca="1" si="2"/>
        <v>1</v>
      </c>
      <c r="P9" s="2">
        <v>1</v>
      </c>
      <c r="Q9" s="2">
        <f>Таблица1[[#This Row],[ID]]</f>
        <v>15</v>
      </c>
      <c r="R9" s="2">
        <v>8</v>
      </c>
      <c r="S9" s="2">
        <f t="shared" ca="1" si="3"/>
        <v>2</v>
      </c>
    </row>
    <row r="10" spans="1:23" x14ac:dyDescent="0.25">
      <c r="A10" s="2">
        <v>17</v>
      </c>
      <c r="B10" s="2" t="str">
        <f>"MR-"&amp;Таблица1[[#This Row],[ID]]</f>
        <v>MR-17</v>
      </c>
      <c r="C10" s="2">
        <v>1</v>
      </c>
      <c r="D10" s="3" t="s">
        <v>22</v>
      </c>
      <c r="E10" s="9">
        <f ca="1">Таблица1[[#Headers],[01.май]]+RANDBETWEEN(1,3)+E9-Таблица1[[#Headers],[01.май]]</f>
        <v>43602</v>
      </c>
      <c r="F10" s="9">
        <f ca="1">Таблица1[[#This Row],[01.май]]+RANDBETWEEN(1,10)</f>
        <v>43604</v>
      </c>
      <c r="G10" s="2">
        <v>4</v>
      </c>
      <c r="H10">
        <f t="shared" ca="1" si="0"/>
        <v>10</v>
      </c>
      <c r="I10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9</v>
      </c>
      <c r="J10" s="2">
        <v>0</v>
      </c>
      <c r="K10" s="2">
        <f t="shared" ca="1" si="1"/>
        <v>3</v>
      </c>
      <c r="L10" s="2">
        <f>VLOOKUP(Таблица1[[#This Row],[Release]],Релизы!A:B,2,FALSE)</f>
        <v>3</v>
      </c>
      <c r="M10" s="2" t="s">
        <v>146</v>
      </c>
      <c r="N10" s="2">
        <v>5</v>
      </c>
      <c r="O10" s="2">
        <f t="shared" ca="1" si="2"/>
        <v>0</v>
      </c>
      <c r="P10" s="2">
        <v>1</v>
      </c>
      <c r="Q10" s="2">
        <f>Таблица1[[#This Row],[ID]]</f>
        <v>17</v>
      </c>
      <c r="R10" s="2">
        <v>8</v>
      </c>
      <c r="S10" s="2">
        <f t="shared" ca="1" si="3"/>
        <v>1</v>
      </c>
    </row>
    <row r="11" spans="1:23" x14ac:dyDescent="0.25">
      <c r="A11" s="2">
        <v>19</v>
      </c>
      <c r="B11" s="2" t="str">
        <f>"MR-"&amp;Таблица1[[#This Row],[ID]]</f>
        <v>MR-19</v>
      </c>
      <c r="C11" s="2">
        <v>5</v>
      </c>
      <c r="D11" s="3" t="s">
        <v>23</v>
      </c>
      <c r="E11" s="9">
        <f ca="1">Таблица1[[#Headers],[01.май]]+RANDBETWEEN(1,3)+E10-Таблица1[[#Headers],[01.май]]</f>
        <v>43604</v>
      </c>
      <c r="F11" s="9">
        <f ca="1">Таблица1[[#This Row],[01.май]]+RANDBETWEEN(1,10)</f>
        <v>43613</v>
      </c>
      <c r="G11" s="2">
        <v>4</v>
      </c>
      <c r="H11">
        <f t="shared" ca="1" si="0"/>
        <v>8</v>
      </c>
      <c r="I11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7</v>
      </c>
      <c r="J11" s="2">
        <v>0</v>
      </c>
      <c r="K11" s="2">
        <f t="shared" ca="1" si="1"/>
        <v>3</v>
      </c>
      <c r="L11" s="2">
        <f>VLOOKUP(Таблица1[[#This Row],[Release]],Релизы!A:B,2,FALSE)</f>
        <v>3</v>
      </c>
      <c r="M11" s="2" t="s">
        <v>146</v>
      </c>
      <c r="N11" s="2">
        <v>5</v>
      </c>
      <c r="O11" s="2">
        <f t="shared" ca="1" si="2"/>
        <v>1</v>
      </c>
      <c r="P11" s="2">
        <v>1</v>
      </c>
      <c r="Q11" s="2">
        <f>Таблица1[[#This Row],[ID]]</f>
        <v>19</v>
      </c>
      <c r="R11" s="2">
        <v>8</v>
      </c>
      <c r="S11" s="2">
        <f t="shared" ca="1" si="3"/>
        <v>3</v>
      </c>
    </row>
    <row r="12" spans="1:23" x14ac:dyDescent="0.25">
      <c r="A12" s="2">
        <v>21</v>
      </c>
      <c r="B12" s="2" t="str">
        <f>"MR-"&amp;Таблица1[[#This Row],[ID]]</f>
        <v>MR-21</v>
      </c>
      <c r="C12" s="2">
        <v>3</v>
      </c>
      <c r="D12" s="3" t="s">
        <v>197</v>
      </c>
      <c r="E12" s="9">
        <f ca="1">Таблица1[[#Headers],[01.май]]+RANDBETWEEN(1,3)+E11-Таблица1[[#Headers],[01.май]]</f>
        <v>43605</v>
      </c>
      <c r="F12" s="9">
        <f ca="1">Таблица1[[#This Row],[01.май]]+RANDBETWEEN(1,10)</f>
        <v>43607</v>
      </c>
      <c r="G12" s="2">
        <v>4</v>
      </c>
      <c r="H12">
        <f t="shared" ca="1" si="0"/>
        <v>3</v>
      </c>
      <c r="I12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3</v>
      </c>
      <c r="J12" s="2">
        <v>0</v>
      </c>
      <c r="K12" s="2">
        <f t="shared" ca="1" si="1"/>
        <v>2</v>
      </c>
      <c r="L12" s="2">
        <f>VLOOKUP(Таблица1[[#This Row],[Release]],Релизы!A:B,2,FALSE)</f>
        <v>3</v>
      </c>
      <c r="M12" s="2" t="s">
        <v>146</v>
      </c>
      <c r="N12" s="2">
        <v>5</v>
      </c>
      <c r="O12" s="2">
        <f t="shared" ca="1" si="2"/>
        <v>0</v>
      </c>
      <c r="P12" s="2">
        <v>1</v>
      </c>
      <c r="Q12" s="2">
        <f>Таблица1[[#This Row],[ID]]</f>
        <v>21</v>
      </c>
      <c r="R12" s="2">
        <v>8</v>
      </c>
      <c r="S12" s="2">
        <f t="shared" ca="1" si="3"/>
        <v>5</v>
      </c>
    </row>
    <row r="13" spans="1:23" x14ac:dyDescent="0.25">
      <c r="A13" s="2">
        <v>23</v>
      </c>
      <c r="B13" s="2" t="str">
        <f>"MR-"&amp;Таблица1[[#This Row],[ID]]</f>
        <v>MR-23</v>
      </c>
      <c r="C13" s="2">
        <v>2</v>
      </c>
      <c r="D13" s="3" t="s">
        <v>198</v>
      </c>
      <c r="E13" s="9">
        <f ca="1">Таблица1[[#Headers],[01.май]]+RANDBETWEEN(1,3)+E12-Таблица1[[#Headers],[01.май]]</f>
        <v>43607</v>
      </c>
      <c r="F13" s="9">
        <f ca="1">Таблица1[[#This Row],[01.май]]+RANDBETWEEN(1,10)</f>
        <v>43615</v>
      </c>
      <c r="G13" s="2">
        <v>4</v>
      </c>
      <c r="H13">
        <f t="shared" ca="1" si="0"/>
        <v>2</v>
      </c>
      <c r="I13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2</v>
      </c>
      <c r="J13" s="2">
        <v>0</v>
      </c>
      <c r="K13" s="2">
        <f t="shared" ca="1" si="1"/>
        <v>1</v>
      </c>
      <c r="L13" s="2">
        <f>VLOOKUP(Таблица1[[#This Row],[Release]],Релизы!A:B,2,FALSE)</f>
        <v>3</v>
      </c>
      <c r="M13" s="2" t="s">
        <v>146</v>
      </c>
      <c r="N13" s="2">
        <v>5</v>
      </c>
      <c r="O13" s="2">
        <f t="shared" ca="1" si="2"/>
        <v>0</v>
      </c>
      <c r="P13" s="2">
        <v>1</v>
      </c>
      <c r="Q13" s="2">
        <f>Таблица1[[#This Row],[ID]]</f>
        <v>23</v>
      </c>
      <c r="R13" s="2">
        <v>8</v>
      </c>
      <c r="S13" s="2">
        <f t="shared" ca="1" si="3"/>
        <v>1</v>
      </c>
      <c r="U13"/>
      <c r="V13"/>
      <c r="W13"/>
    </row>
    <row r="14" spans="1:23" x14ac:dyDescent="0.25">
      <c r="A14" s="2">
        <v>25</v>
      </c>
      <c r="B14" s="2" t="str">
        <f>"MR-"&amp;Таблица1[[#This Row],[ID]]</f>
        <v>MR-25</v>
      </c>
      <c r="C14" s="2">
        <v>1</v>
      </c>
      <c r="D14" s="3" t="s">
        <v>24</v>
      </c>
      <c r="E14" s="9">
        <f ca="1">Таблица1[[#Headers],[01.май]]+RANDBETWEEN(1,3)+E13-Таблица1[[#Headers],[01.май]]</f>
        <v>43610</v>
      </c>
      <c r="F14" s="9">
        <f ca="1">Таблица1[[#This Row],[01.май]]+RANDBETWEEN(1,10)</f>
        <v>43620</v>
      </c>
      <c r="G14" s="2">
        <v>4</v>
      </c>
      <c r="H14">
        <f t="shared" ca="1" si="0"/>
        <v>5</v>
      </c>
      <c r="I14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5</v>
      </c>
      <c r="J14" s="2">
        <v>0</v>
      </c>
      <c r="K14" s="2">
        <f t="shared" ca="1" si="1"/>
        <v>3</v>
      </c>
      <c r="L14" s="2">
        <f>VLOOKUP(Таблица1[[#This Row],[Release]],Релизы!A:B,2,FALSE)</f>
        <v>3</v>
      </c>
      <c r="M14" s="2" t="s">
        <v>146</v>
      </c>
      <c r="N14" s="2">
        <v>5</v>
      </c>
      <c r="O14" s="2">
        <f t="shared" ca="1" si="2"/>
        <v>1</v>
      </c>
      <c r="P14" s="2">
        <v>1</v>
      </c>
      <c r="Q14" s="2">
        <f>Таблица1[[#This Row],[ID]]</f>
        <v>25</v>
      </c>
      <c r="R14" s="2">
        <v>8</v>
      </c>
      <c r="S14" s="2">
        <f t="shared" ca="1" si="3"/>
        <v>5</v>
      </c>
      <c r="U14"/>
      <c r="V14"/>
      <c r="W14"/>
    </row>
    <row r="15" spans="1:23" x14ac:dyDescent="0.25">
      <c r="A15" s="2">
        <v>27</v>
      </c>
      <c r="B15" s="2" t="str">
        <f>"MR-"&amp;Таблица1[[#This Row],[ID]]</f>
        <v>MR-27</v>
      </c>
      <c r="C15" s="2">
        <v>5</v>
      </c>
      <c r="D15" s="3" t="s">
        <v>25</v>
      </c>
      <c r="E15" s="9">
        <f ca="1">Таблица1[[#Headers],[01.май]]+RANDBETWEEN(1,3)+E14-Таблица1[[#Headers],[01.май]]</f>
        <v>43613</v>
      </c>
      <c r="F15" s="9">
        <f ca="1">Таблица1[[#This Row],[01.май]]+RANDBETWEEN(1,10)</f>
        <v>43621</v>
      </c>
      <c r="G15" s="2">
        <v>4</v>
      </c>
      <c r="H15">
        <f t="shared" ca="1" si="0"/>
        <v>2</v>
      </c>
      <c r="I15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2</v>
      </c>
      <c r="J15" s="2">
        <v>0</v>
      </c>
      <c r="K15" s="2">
        <f t="shared" ca="1" si="1"/>
        <v>1</v>
      </c>
      <c r="L15" s="2">
        <f>VLOOKUP(Таблица1[[#This Row],[Release]],Релизы!A:B,2,FALSE)</f>
        <v>3</v>
      </c>
      <c r="M15" s="2" t="s">
        <v>146</v>
      </c>
      <c r="N15" s="2">
        <v>5</v>
      </c>
      <c r="O15" s="2">
        <f t="shared" ca="1" si="2"/>
        <v>1</v>
      </c>
      <c r="P15" s="2">
        <v>3</v>
      </c>
      <c r="Q15" s="2">
        <f>Таблица1[[#This Row],[ID]]</f>
        <v>27</v>
      </c>
      <c r="R15" s="2">
        <v>8</v>
      </c>
      <c r="S15" s="2">
        <f t="shared" ca="1" si="3"/>
        <v>1</v>
      </c>
      <c r="U15"/>
      <c r="V15"/>
      <c r="W15"/>
    </row>
    <row r="16" spans="1:23" x14ac:dyDescent="0.25">
      <c r="A16" s="2">
        <v>29</v>
      </c>
      <c r="B16" s="2" t="str">
        <f>"MR-"&amp;Таблица1[[#This Row],[ID]]</f>
        <v>MR-29</v>
      </c>
      <c r="C16" s="2">
        <v>2</v>
      </c>
      <c r="D16" s="3" t="s">
        <v>26</v>
      </c>
      <c r="E16" s="9">
        <f ca="1">Таблица1[[#Headers],[01.май]]+RANDBETWEEN(1,3)+E15-Таблица1[[#Headers],[01.май]]</f>
        <v>43614</v>
      </c>
      <c r="F16" s="9">
        <f ca="1">Таблица1[[#This Row],[01.май]]+RANDBETWEEN(1,10)</f>
        <v>43623</v>
      </c>
      <c r="G16" s="2">
        <v>4</v>
      </c>
      <c r="H16">
        <f t="shared" ca="1" si="0"/>
        <v>4</v>
      </c>
      <c r="I16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4</v>
      </c>
      <c r="J16" s="2">
        <v>0</v>
      </c>
      <c r="K16" s="2">
        <f t="shared" ca="1" si="1"/>
        <v>1</v>
      </c>
      <c r="L16" s="2">
        <f>VLOOKUP(Таблица1[[#This Row],[Release]],Релизы!A:B,2,FALSE)</f>
        <v>3</v>
      </c>
      <c r="M16" s="2" t="s">
        <v>146</v>
      </c>
      <c r="N16" s="2">
        <v>5</v>
      </c>
      <c r="O16" s="2">
        <f t="shared" ca="1" si="2"/>
        <v>0</v>
      </c>
      <c r="P16" s="2">
        <v>3</v>
      </c>
      <c r="Q16" s="2">
        <f>Таблица1[[#This Row],[ID]]</f>
        <v>29</v>
      </c>
      <c r="R16" s="2">
        <v>8</v>
      </c>
      <c r="S16" s="2">
        <f t="shared" ca="1" si="3"/>
        <v>5</v>
      </c>
      <c r="U16"/>
      <c r="V16"/>
      <c r="W16"/>
    </row>
    <row r="17" spans="1:23" x14ac:dyDescent="0.25">
      <c r="A17" s="2">
        <v>31</v>
      </c>
      <c r="B17" s="2" t="str">
        <f>"MR-"&amp;Таблица1[[#This Row],[ID]]</f>
        <v>MR-31</v>
      </c>
      <c r="C17" s="2">
        <v>5</v>
      </c>
      <c r="D17" s="3" t="s">
        <v>27</v>
      </c>
      <c r="E17" s="9">
        <f ca="1">Таблица1[[#Headers],[01.май]]+RANDBETWEEN(1,3)+E16-Таблица1[[#Headers],[01.май]]</f>
        <v>43616</v>
      </c>
      <c r="F17" s="9">
        <f ca="1">Таблица1[[#This Row],[01.май]]+RANDBETWEEN(1,10)</f>
        <v>43619</v>
      </c>
      <c r="G17" s="2">
        <v>4</v>
      </c>
      <c r="H17">
        <f t="shared" ca="1" si="0"/>
        <v>5</v>
      </c>
      <c r="I17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5</v>
      </c>
      <c r="J17" s="2">
        <v>0</v>
      </c>
      <c r="K17" s="2">
        <f t="shared" ca="1" si="1"/>
        <v>3</v>
      </c>
      <c r="L17" s="2">
        <f>VLOOKUP(Таблица1[[#This Row],[Release]],Релизы!A:B,2,FALSE)</f>
        <v>3</v>
      </c>
      <c r="M17" s="2" t="s">
        <v>146</v>
      </c>
      <c r="N17" s="2">
        <v>5</v>
      </c>
      <c r="O17" s="2">
        <f t="shared" ca="1" si="2"/>
        <v>1</v>
      </c>
      <c r="P17" s="2">
        <v>3</v>
      </c>
      <c r="Q17" s="2">
        <f>Таблица1[[#This Row],[ID]]</f>
        <v>31</v>
      </c>
      <c r="R17" s="2">
        <v>8</v>
      </c>
      <c r="S17" s="2">
        <f t="shared" ca="1" si="3"/>
        <v>3</v>
      </c>
      <c r="U17"/>
      <c r="V17"/>
      <c r="W17"/>
    </row>
    <row r="18" spans="1:23" x14ac:dyDescent="0.25">
      <c r="A18" s="2">
        <v>33</v>
      </c>
      <c r="B18" s="2" t="str">
        <f>"MR-"&amp;Таблица1[[#This Row],[ID]]</f>
        <v>MR-33</v>
      </c>
      <c r="C18" s="2">
        <v>5</v>
      </c>
      <c r="D18" s="3" t="s">
        <v>199</v>
      </c>
      <c r="E18" s="9">
        <f ca="1">Таблица1[[#Headers],[01.май]]+RANDBETWEEN(1,3)+E17-Таблица1[[#Headers],[01.май]]</f>
        <v>43617</v>
      </c>
      <c r="F18" s="9">
        <f ca="1">Таблица1[[#This Row],[01.май]]+RANDBETWEEN(1,10)</f>
        <v>43623</v>
      </c>
      <c r="G18" s="2">
        <v>4</v>
      </c>
      <c r="H18">
        <f t="shared" ca="1" si="0"/>
        <v>5</v>
      </c>
      <c r="I18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5</v>
      </c>
      <c r="J18" s="2">
        <v>0</v>
      </c>
      <c r="K18" s="2">
        <f t="shared" ca="1" si="1"/>
        <v>1</v>
      </c>
      <c r="L18" s="2">
        <f>VLOOKUP(Таблица1[[#This Row],[Release]],Релизы!A:B,2,FALSE)</f>
        <v>1</v>
      </c>
      <c r="M18" s="2" t="s">
        <v>146</v>
      </c>
      <c r="N18" s="2">
        <v>5</v>
      </c>
      <c r="O18" s="2">
        <f t="shared" ca="1" si="2"/>
        <v>0</v>
      </c>
      <c r="P18" s="2">
        <v>3</v>
      </c>
      <c r="Q18" s="2">
        <f>Таблица1[[#This Row],[ID]]</f>
        <v>33</v>
      </c>
      <c r="R18" s="2">
        <v>9</v>
      </c>
      <c r="S18" s="2">
        <f t="shared" ca="1" si="3"/>
        <v>1</v>
      </c>
      <c r="U18"/>
      <c r="V18"/>
      <c r="W18"/>
    </row>
    <row r="19" spans="1:23" x14ac:dyDescent="0.25">
      <c r="A19" s="2">
        <v>35</v>
      </c>
      <c r="B19" s="2" t="str">
        <f>"MR-"&amp;Таблица1[[#This Row],[ID]]</f>
        <v>MR-35</v>
      </c>
      <c r="C19" s="2">
        <v>5</v>
      </c>
      <c r="D19" s="3" t="s">
        <v>200</v>
      </c>
      <c r="E19" s="9">
        <f ca="1">Таблица1[[#Headers],[01.май]]+RANDBETWEEN(1,3)+E18-Таблица1[[#Headers],[01.май]]</f>
        <v>43619</v>
      </c>
      <c r="F19" s="9">
        <f ca="1">Таблица1[[#This Row],[01.май]]+RANDBETWEEN(1,10)</f>
        <v>43620</v>
      </c>
      <c r="G19" s="2">
        <v>4</v>
      </c>
      <c r="H19">
        <f t="shared" ca="1" si="0"/>
        <v>2</v>
      </c>
      <c r="I19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2</v>
      </c>
      <c r="J19" s="2">
        <v>0</v>
      </c>
      <c r="K19" s="2">
        <f t="shared" ca="1" si="1"/>
        <v>3</v>
      </c>
      <c r="L19" s="2">
        <f>VLOOKUP(Таблица1[[#This Row],[Release]],Релизы!A:B,2,FALSE)</f>
        <v>1</v>
      </c>
      <c r="M19" s="2" t="s">
        <v>146</v>
      </c>
      <c r="N19" s="2">
        <v>5</v>
      </c>
      <c r="O19" s="2">
        <f t="shared" ca="1" si="2"/>
        <v>0</v>
      </c>
      <c r="P19" s="2">
        <v>3</v>
      </c>
      <c r="Q19" s="2">
        <f>Таблица1[[#This Row],[ID]]</f>
        <v>35</v>
      </c>
      <c r="R19" s="2">
        <v>9</v>
      </c>
      <c r="S19" s="2">
        <f t="shared" ca="1" si="3"/>
        <v>3</v>
      </c>
      <c r="U19"/>
      <c r="V19"/>
      <c r="W19"/>
    </row>
    <row r="20" spans="1:23" x14ac:dyDescent="0.25">
      <c r="A20" s="2">
        <v>37</v>
      </c>
      <c r="B20" s="2" t="str">
        <f>"MR-"&amp;Таблица1[[#This Row],[ID]]</f>
        <v>MR-37</v>
      </c>
      <c r="C20" s="2">
        <v>2</v>
      </c>
      <c r="D20" s="3" t="s">
        <v>28</v>
      </c>
      <c r="E20" s="9">
        <f ca="1">Таблица1[[#Headers],[01.май]]+RANDBETWEEN(1,3)+E19-Таблица1[[#Headers],[01.май]]</f>
        <v>43620</v>
      </c>
      <c r="F20" s="9">
        <f ca="1">Таблица1[[#This Row],[01.май]]+RANDBETWEEN(1,10)</f>
        <v>43623</v>
      </c>
      <c r="G20" s="2">
        <v>4</v>
      </c>
      <c r="H20">
        <f t="shared" ca="1" si="0"/>
        <v>7</v>
      </c>
      <c r="I20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6</v>
      </c>
      <c r="J20" s="2">
        <v>0</v>
      </c>
      <c r="K20" s="2">
        <f t="shared" ca="1" si="1"/>
        <v>3</v>
      </c>
      <c r="L20" s="2">
        <f>VLOOKUP(Таблица1[[#This Row],[Release]],Релизы!A:B,2,FALSE)</f>
        <v>1</v>
      </c>
      <c r="M20" s="2" t="s">
        <v>146</v>
      </c>
      <c r="N20" s="2">
        <v>5</v>
      </c>
      <c r="O20" s="2">
        <f t="shared" ca="1" si="2"/>
        <v>0</v>
      </c>
      <c r="P20" s="2">
        <v>3</v>
      </c>
      <c r="Q20" s="2">
        <f>Таблица1[[#This Row],[ID]]</f>
        <v>37</v>
      </c>
      <c r="R20" s="2">
        <v>9</v>
      </c>
      <c r="S20" s="2">
        <f t="shared" ca="1" si="3"/>
        <v>2</v>
      </c>
      <c r="U20"/>
      <c r="V20"/>
    </row>
    <row r="21" spans="1:23" x14ac:dyDescent="0.25">
      <c r="A21" s="2">
        <v>39</v>
      </c>
      <c r="B21" s="2" t="str">
        <f>"MR-"&amp;Таблица1[[#This Row],[ID]]</f>
        <v>MR-39</v>
      </c>
      <c r="C21" s="2">
        <v>5</v>
      </c>
      <c r="D21" s="3" t="s">
        <v>29</v>
      </c>
      <c r="E21" s="9">
        <f ca="1">Таблица1[[#Headers],[01.май]]+RANDBETWEEN(1,3)+E20-Таблица1[[#Headers],[01.май]]</f>
        <v>43623</v>
      </c>
      <c r="F21" s="9">
        <f ca="1">Таблица1[[#This Row],[01.май]]+RANDBETWEEN(1,10)</f>
        <v>43633</v>
      </c>
      <c r="G21" s="2">
        <v>4</v>
      </c>
      <c r="H21">
        <f t="shared" ca="1" si="0"/>
        <v>10</v>
      </c>
      <c r="I21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9</v>
      </c>
      <c r="J21" s="2">
        <v>0</v>
      </c>
      <c r="K21" s="2">
        <f t="shared" ca="1" si="1"/>
        <v>1</v>
      </c>
      <c r="L21" s="2">
        <f>VLOOKUP(Таблица1[[#This Row],[Release]],Релизы!A:B,2,FALSE)</f>
        <v>1</v>
      </c>
      <c r="M21" s="2" t="s">
        <v>146</v>
      </c>
      <c r="N21" s="2">
        <v>5</v>
      </c>
      <c r="O21" s="2">
        <f t="shared" ca="1" si="2"/>
        <v>0</v>
      </c>
      <c r="P21" s="2">
        <v>3</v>
      </c>
      <c r="Q21" s="2">
        <f>Таблица1[[#This Row],[ID]]</f>
        <v>39</v>
      </c>
      <c r="R21" s="2">
        <v>9</v>
      </c>
      <c r="S21" s="2">
        <f t="shared" ca="1" si="3"/>
        <v>4</v>
      </c>
      <c r="U21"/>
      <c r="V21"/>
    </row>
    <row r="22" spans="1:23" x14ac:dyDescent="0.25">
      <c r="A22" s="2">
        <v>41</v>
      </c>
      <c r="B22" s="2" t="str">
        <f>"MR-"&amp;Таблица1[[#This Row],[ID]]</f>
        <v>MR-41</v>
      </c>
      <c r="C22" s="2">
        <v>4</v>
      </c>
      <c r="D22" s="3" t="s">
        <v>30</v>
      </c>
      <c r="E22" s="9">
        <f ca="1">Таблица1[[#Headers],[01.май]]+RANDBETWEEN(1,3)+E21-Таблица1[[#Headers],[01.май]]</f>
        <v>43624</v>
      </c>
      <c r="F22" s="9">
        <f ca="1">Таблица1[[#This Row],[01.май]]+RANDBETWEEN(1,10)</f>
        <v>43626</v>
      </c>
      <c r="G22" s="2">
        <v>4</v>
      </c>
      <c r="H22">
        <f t="shared" ca="1" si="0"/>
        <v>5</v>
      </c>
      <c r="I22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5</v>
      </c>
      <c r="J22" s="2">
        <v>0</v>
      </c>
      <c r="K22" s="2">
        <f t="shared" ca="1" si="1"/>
        <v>2</v>
      </c>
      <c r="L22" s="2">
        <f>VLOOKUP(Таблица1[[#This Row],[Release]],Релизы!A:B,2,FALSE)</f>
        <v>1</v>
      </c>
      <c r="M22" s="2" t="s">
        <v>146</v>
      </c>
      <c r="N22" s="2">
        <v>5</v>
      </c>
      <c r="O22" s="2">
        <f t="shared" ca="1" si="2"/>
        <v>0</v>
      </c>
      <c r="P22" s="2">
        <v>3</v>
      </c>
      <c r="Q22" s="2">
        <f>Таблица1[[#This Row],[ID]]</f>
        <v>41</v>
      </c>
      <c r="R22" s="2">
        <v>9</v>
      </c>
      <c r="S22" s="2">
        <f t="shared" ca="1" si="3"/>
        <v>4</v>
      </c>
      <c r="U22"/>
      <c r="V22"/>
    </row>
    <row r="23" spans="1:23" x14ac:dyDescent="0.25">
      <c r="A23" s="2">
        <v>43</v>
      </c>
      <c r="B23" s="2" t="str">
        <f>"MR-"&amp;Таблица1[[#This Row],[ID]]</f>
        <v>MR-43</v>
      </c>
      <c r="C23" s="2">
        <v>5</v>
      </c>
      <c r="D23" s="3" t="s">
        <v>201</v>
      </c>
      <c r="E23" s="9">
        <f ca="1">Таблица1[[#Headers],[01.май]]+RANDBETWEEN(1,3)+E22-Таблица1[[#Headers],[01.май]]</f>
        <v>43625</v>
      </c>
      <c r="F23" s="9">
        <f ca="1">Таблица1[[#This Row],[01.май]]+RANDBETWEEN(1,10)</f>
        <v>43628</v>
      </c>
      <c r="G23" s="2">
        <v>4</v>
      </c>
      <c r="H23">
        <f t="shared" ca="1" si="0"/>
        <v>3</v>
      </c>
      <c r="I23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3</v>
      </c>
      <c r="J23" s="2">
        <v>0</v>
      </c>
      <c r="K23" s="2">
        <f t="shared" ca="1" si="1"/>
        <v>3</v>
      </c>
      <c r="L23" s="2">
        <f>VLOOKUP(Таблица1[[#This Row],[Release]],Релизы!A:B,2,FALSE)</f>
        <v>1</v>
      </c>
      <c r="M23" s="2" t="s">
        <v>146</v>
      </c>
      <c r="N23" s="2">
        <v>6</v>
      </c>
      <c r="O23" s="2">
        <f t="shared" ca="1" si="2"/>
        <v>1</v>
      </c>
      <c r="P23" s="2">
        <v>5</v>
      </c>
      <c r="Q23" s="2">
        <f>Таблица1[[#This Row],[ID]]</f>
        <v>43</v>
      </c>
      <c r="R23" s="2">
        <v>9</v>
      </c>
      <c r="S23" s="2">
        <f t="shared" ref="S23:S51" ca="1" si="4">RANDBETWEEN(3,7)</f>
        <v>5</v>
      </c>
      <c r="U23"/>
      <c r="V23"/>
    </row>
    <row r="24" spans="1:23" x14ac:dyDescent="0.25">
      <c r="A24" s="2">
        <v>45</v>
      </c>
      <c r="B24" s="2" t="str">
        <f>"MR-"&amp;Таблица1[[#This Row],[ID]]</f>
        <v>MR-45</v>
      </c>
      <c r="C24" s="2">
        <v>1</v>
      </c>
      <c r="D24" s="3" t="s">
        <v>202</v>
      </c>
      <c r="E24" s="9">
        <f ca="1">Таблица1[[#Headers],[01.май]]+RANDBETWEEN(1,3)+E23-Таблица1[[#Headers],[01.май]]</f>
        <v>43628</v>
      </c>
      <c r="F24" s="9">
        <f ca="1">Таблица1[[#This Row],[01.май]]+RANDBETWEEN(1,10)</f>
        <v>43633</v>
      </c>
      <c r="G24" s="2">
        <v>4</v>
      </c>
      <c r="H24">
        <f t="shared" ca="1" si="0"/>
        <v>3</v>
      </c>
      <c r="I24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3</v>
      </c>
      <c r="J24" s="2">
        <v>0</v>
      </c>
      <c r="K24" s="2">
        <f t="shared" ca="1" si="1"/>
        <v>2</v>
      </c>
      <c r="L24" s="2">
        <f>VLOOKUP(Таблица1[[#This Row],[Release]],Релизы!A:B,2,FALSE)</f>
        <v>1</v>
      </c>
      <c r="M24" s="2" t="s">
        <v>146</v>
      </c>
      <c r="N24" s="2">
        <v>6</v>
      </c>
      <c r="O24" s="2">
        <f t="shared" ca="1" si="2"/>
        <v>0</v>
      </c>
      <c r="P24" s="2">
        <v>5</v>
      </c>
      <c r="Q24" s="2">
        <f>Таблица1[[#This Row],[ID]]</f>
        <v>45</v>
      </c>
      <c r="R24" s="2">
        <v>9</v>
      </c>
      <c r="S24" s="2">
        <f t="shared" ca="1" si="4"/>
        <v>3</v>
      </c>
      <c r="U24"/>
      <c r="V24"/>
    </row>
    <row r="25" spans="1:23" x14ac:dyDescent="0.25">
      <c r="A25" s="2">
        <v>47</v>
      </c>
      <c r="B25" s="2" t="str">
        <f>"MR-"&amp;Таблица1[[#This Row],[ID]]</f>
        <v>MR-47</v>
      </c>
      <c r="C25" s="2">
        <v>5</v>
      </c>
      <c r="D25" s="3" t="s">
        <v>31</v>
      </c>
      <c r="E25" s="9">
        <f ca="1">Таблица1[[#Headers],[01.май]]+RANDBETWEEN(1,3)+E24-Таблица1[[#Headers],[01.май]]</f>
        <v>43629</v>
      </c>
      <c r="F25" s="9">
        <f ca="1">Таблица1[[#This Row],[01.май]]+RANDBETWEEN(1,10)</f>
        <v>43636</v>
      </c>
      <c r="G25" s="2">
        <v>4</v>
      </c>
      <c r="H25">
        <f t="shared" ca="1" si="0"/>
        <v>4</v>
      </c>
      <c r="I25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4</v>
      </c>
      <c r="J25" s="2">
        <v>0</v>
      </c>
      <c r="K25" s="2">
        <f t="shared" ca="1" si="1"/>
        <v>2</v>
      </c>
      <c r="L25" s="2">
        <f>VLOOKUP(Таблица1[[#This Row],[Release]],Релизы!A:B,2,FALSE)</f>
        <v>1</v>
      </c>
      <c r="M25" s="2" t="s">
        <v>146</v>
      </c>
      <c r="N25" s="2">
        <v>6</v>
      </c>
      <c r="O25" s="2">
        <f t="shared" ca="1" si="2"/>
        <v>1</v>
      </c>
      <c r="P25" s="2">
        <v>5</v>
      </c>
      <c r="Q25" s="2">
        <f>Таблица1[[#This Row],[ID]]</f>
        <v>47</v>
      </c>
      <c r="R25" s="2">
        <v>9</v>
      </c>
      <c r="S25" s="2">
        <f t="shared" ca="1" si="4"/>
        <v>4</v>
      </c>
      <c r="U25"/>
      <c r="V25"/>
    </row>
    <row r="26" spans="1:23" x14ac:dyDescent="0.25">
      <c r="A26" s="2">
        <v>49</v>
      </c>
      <c r="B26" s="2" t="str">
        <f>"MR-"&amp;Таблица1[[#This Row],[ID]]</f>
        <v>MR-49</v>
      </c>
      <c r="C26" s="2">
        <v>3</v>
      </c>
      <c r="D26" s="3" t="s">
        <v>203</v>
      </c>
      <c r="E26" s="9">
        <f ca="1">Таблица1[[#Headers],[01.май]]+RANDBETWEEN(1,3)+E25-Таблица1[[#Headers],[01.май]]</f>
        <v>43632</v>
      </c>
      <c r="F26" s="9">
        <f ca="1">Таблица1[[#This Row],[01.май]]+RANDBETWEEN(1,10)</f>
        <v>43635</v>
      </c>
      <c r="G26" s="2">
        <v>4</v>
      </c>
      <c r="H26">
        <f t="shared" ca="1" si="0"/>
        <v>9</v>
      </c>
      <c r="I26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8</v>
      </c>
      <c r="J26" s="2">
        <v>0</v>
      </c>
      <c r="K26" s="2">
        <f t="shared" ca="1" si="1"/>
        <v>1</v>
      </c>
      <c r="L26" s="2">
        <f>VLOOKUP(Таблица1[[#This Row],[Release]],Релизы!A:B,2,FALSE)</f>
        <v>1</v>
      </c>
      <c r="M26" s="2" t="s">
        <v>146</v>
      </c>
      <c r="N26" s="2">
        <v>6</v>
      </c>
      <c r="O26" s="2">
        <f t="shared" ca="1" si="2"/>
        <v>1</v>
      </c>
      <c r="P26" s="2">
        <v>5</v>
      </c>
      <c r="Q26" s="2">
        <f>Таблица1[[#This Row],[ID]]</f>
        <v>49</v>
      </c>
      <c r="R26" s="2">
        <v>9</v>
      </c>
      <c r="S26" s="2">
        <f t="shared" ca="1" si="4"/>
        <v>3</v>
      </c>
      <c r="U26"/>
      <c r="V26"/>
    </row>
    <row r="27" spans="1:23" x14ac:dyDescent="0.25">
      <c r="A27" s="2">
        <v>51</v>
      </c>
      <c r="B27" s="2" t="str">
        <f>"MR-"&amp;Таблица1[[#This Row],[ID]]</f>
        <v>MR-51</v>
      </c>
      <c r="C27" s="2">
        <v>1</v>
      </c>
      <c r="D27" s="3" t="s">
        <v>32</v>
      </c>
      <c r="E27" s="9">
        <f ca="1">Таблица1[[#Headers],[01.май]]+RANDBETWEEN(1,3)+E26-Таблица1[[#Headers],[01.май]]</f>
        <v>43634</v>
      </c>
      <c r="F27" s="9">
        <f ca="1">Таблица1[[#This Row],[01.май]]+RANDBETWEEN(1,10)</f>
        <v>43638</v>
      </c>
      <c r="G27" s="2">
        <v>4</v>
      </c>
      <c r="H27">
        <f t="shared" ca="1" si="0"/>
        <v>9</v>
      </c>
      <c r="I27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8</v>
      </c>
      <c r="J27" s="2">
        <v>0</v>
      </c>
      <c r="K27" s="2">
        <f t="shared" ca="1" si="1"/>
        <v>3</v>
      </c>
      <c r="L27" s="2">
        <f>VLOOKUP(Таблица1[[#This Row],[Release]],Релизы!A:B,2,FALSE)</f>
        <v>1</v>
      </c>
      <c r="M27" s="2" t="s">
        <v>146</v>
      </c>
      <c r="N27" s="2">
        <v>6</v>
      </c>
      <c r="O27" s="2">
        <f t="shared" ca="1" si="2"/>
        <v>0</v>
      </c>
      <c r="P27" s="2">
        <v>5</v>
      </c>
      <c r="Q27" s="2">
        <f>Таблица1[[#This Row],[ID]]</f>
        <v>51</v>
      </c>
      <c r="R27" s="2">
        <v>9</v>
      </c>
      <c r="S27" s="2">
        <f t="shared" ca="1" si="4"/>
        <v>7</v>
      </c>
      <c r="U27"/>
      <c r="V27"/>
    </row>
    <row r="28" spans="1:23" x14ac:dyDescent="0.25">
      <c r="A28" s="2">
        <v>53</v>
      </c>
      <c r="B28" s="2" t="str">
        <f>"MR-"&amp;Таблица1[[#This Row],[ID]]</f>
        <v>MR-53</v>
      </c>
      <c r="C28" s="2">
        <v>2</v>
      </c>
      <c r="D28" s="3" t="s">
        <v>204</v>
      </c>
      <c r="E28" s="9">
        <f ca="1">Таблица1[[#Headers],[01.май]]+RANDBETWEEN(1,3)+E27-Таблица1[[#Headers],[01.май]]</f>
        <v>43635</v>
      </c>
      <c r="F28" s="9">
        <f ca="1">Таблица1[[#This Row],[01.май]]+RANDBETWEEN(1,10)</f>
        <v>43637</v>
      </c>
      <c r="G28" s="2">
        <v>4</v>
      </c>
      <c r="H28">
        <f t="shared" ca="1" si="0"/>
        <v>4</v>
      </c>
      <c r="I28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4</v>
      </c>
      <c r="J28" s="2">
        <v>0</v>
      </c>
      <c r="K28" s="2">
        <f t="shared" ca="1" si="1"/>
        <v>2</v>
      </c>
      <c r="L28" s="2">
        <f>VLOOKUP(Таблица1[[#This Row],[Release]],Релизы!A:B,2,FALSE)</f>
        <v>1</v>
      </c>
      <c r="M28" s="2" t="s">
        <v>146</v>
      </c>
      <c r="N28" s="2">
        <v>6</v>
      </c>
      <c r="O28" s="2">
        <f t="shared" ca="1" si="2"/>
        <v>1</v>
      </c>
      <c r="P28" s="2">
        <v>5</v>
      </c>
      <c r="Q28" s="2">
        <f>Таблица1[[#This Row],[ID]]</f>
        <v>53</v>
      </c>
      <c r="R28" s="2">
        <v>9</v>
      </c>
      <c r="S28" s="2">
        <f t="shared" ca="1" si="4"/>
        <v>7</v>
      </c>
      <c r="U28"/>
      <c r="V28"/>
    </row>
    <row r="29" spans="1:23" x14ac:dyDescent="0.25">
      <c r="A29" s="2">
        <v>55</v>
      </c>
      <c r="B29" s="2" t="str">
        <f>"MR-"&amp;Таблица1[[#This Row],[ID]]</f>
        <v>MR-55</v>
      </c>
      <c r="C29" s="2">
        <v>5</v>
      </c>
      <c r="D29" s="3" t="s">
        <v>205</v>
      </c>
      <c r="E29" s="9">
        <f ca="1">Таблица1[[#Headers],[01.май]]+RANDBETWEEN(1,3)+E28-Таблица1[[#Headers],[01.май]]</f>
        <v>43638</v>
      </c>
      <c r="F29" s="9">
        <f ca="1">Таблица1[[#This Row],[01.май]]+RANDBETWEEN(1,10)</f>
        <v>43640</v>
      </c>
      <c r="G29" s="2">
        <v>4</v>
      </c>
      <c r="H29">
        <f t="shared" ca="1" si="0"/>
        <v>1</v>
      </c>
      <c r="I29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1</v>
      </c>
      <c r="J29" s="2">
        <v>0</v>
      </c>
      <c r="K29" s="2">
        <f t="shared" ca="1" si="1"/>
        <v>2</v>
      </c>
      <c r="L29" s="2">
        <f>VLOOKUP(Таблица1[[#This Row],[Release]],Релизы!A:B,2,FALSE)</f>
        <v>1</v>
      </c>
      <c r="M29" s="2" t="s">
        <v>146</v>
      </c>
      <c r="N29" s="2">
        <v>6</v>
      </c>
      <c r="O29" s="2">
        <f t="shared" ca="1" si="2"/>
        <v>0</v>
      </c>
      <c r="P29" s="2">
        <v>5</v>
      </c>
      <c r="Q29" s="2">
        <f>Таблица1[[#This Row],[ID]]</f>
        <v>55</v>
      </c>
      <c r="R29" s="2">
        <v>9</v>
      </c>
      <c r="S29" s="2">
        <f t="shared" ca="1" si="4"/>
        <v>7</v>
      </c>
      <c r="U29"/>
      <c r="V29"/>
    </row>
    <row r="30" spans="1:23" x14ac:dyDescent="0.25">
      <c r="A30" s="2">
        <v>57</v>
      </c>
      <c r="B30" s="2" t="str">
        <f>"MR-"&amp;Таблица1[[#This Row],[ID]]</f>
        <v>MR-57</v>
      </c>
      <c r="C30" s="2">
        <v>3</v>
      </c>
      <c r="D30" s="3" t="s">
        <v>206</v>
      </c>
      <c r="E30" s="9">
        <f ca="1">Таблица1[[#Headers],[01.май]]+RANDBETWEEN(1,3)+E29-Таблица1[[#Headers],[01.май]]</f>
        <v>43639</v>
      </c>
      <c r="F30" s="9">
        <f ca="1">Таблица1[[#This Row],[01.май]]+RANDBETWEEN(1,10)</f>
        <v>43648</v>
      </c>
      <c r="G30" s="2">
        <v>4</v>
      </c>
      <c r="H30">
        <f t="shared" ca="1" si="0"/>
        <v>6</v>
      </c>
      <c r="I30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5</v>
      </c>
      <c r="J30" s="2">
        <v>0</v>
      </c>
      <c r="K30" s="2">
        <f t="shared" ca="1" si="1"/>
        <v>2</v>
      </c>
      <c r="L30" s="2">
        <f>VLOOKUP(Таблица1[[#This Row],[Release]],Релизы!A:B,2,FALSE)</f>
        <v>1</v>
      </c>
      <c r="M30" s="2" t="s">
        <v>146</v>
      </c>
      <c r="N30" s="2">
        <v>6</v>
      </c>
      <c r="O30" s="2">
        <f t="shared" ca="1" si="2"/>
        <v>1</v>
      </c>
      <c r="P30" s="2">
        <v>5</v>
      </c>
      <c r="Q30" s="2">
        <f>Таблица1[[#This Row],[ID]]</f>
        <v>57</v>
      </c>
      <c r="R30" s="2">
        <v>9</v>
      </c>
      <c r="S30" s="2">
        <f t="shared" ca="1" si="4"/>
        <v>3</v>
      </c>
      <c r="U30"/>
      <c r="V30"/>
    </row>
    <row r="31" spans="1:23" x14ac:dyDescent="0.25">
      <c r="A31" s="2">
        <v>59</v>
      </c>
      <c r="B31" s="2" t="str">
        <f>"MR-"&amp;Таблица1[[#This Row],[ID]]</f>
        <v>MR-59</v>
      </c>
      <c r="C31" s="2">
        <v>2</v>
      </c>
      <c r="D31" s="3" t="s">
        <v>207</v>
      </c>
      <c r="E31" s="9">
        <f ca="1">Таблица1[[#Headers],[01.май]]+RANDBETWEEN(1,3)+E30-Таблица1[[#Headers],[01.май]]</f>
        <v>43642</v>
      </c>
      <c r="F31" s="9">
        <f ca="1">Таблица1[[#This Row],[01.май]]+RANDBETWEEN(1,10)</f>
        <v>43652</v>
      </c>
      <c r="G31" s="2">
        <v>4</v>
      </c>
      <c r="H31">
        <f t="shared" ca="1" si="0"/>
        <v>1</v>
      </c>
      <c r="I31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1</v>
      </c>
      <c r="J31" s="2">
        <v>0</v>
      </c>
      <c r="K31" s="2">
        <f t="shared" ca="1" si="1"/>
        <v>1</v>
      </c>
      <c r="L31" s="2">
        <f>VLOOKUP(Таблица1[[#This Row],[Release]],Релизы!A:B,2,FALSE)</f>
        <v>1</v>
      </c>
      <c r="M31" s="2" t="s">
        <v>146</v>
      </c>
      <c r="N31" s="2">
        <v>6</v>
      </c>
      <c r="O31" s="2">
        <f t="shared" ca="1" si="2"/>
        <v>0</v>
      </c>
      <c r="P31" s="2">
        <v>5</v>
      </c>
      <c r="Q31" s="2">
        <f>Таблица1[[#This Row],[ID]]</f>
        <v>59</v>
      </c>
      <c r="R31" s="2">
        <v>9</v>
      </c>
      <c r="S31" s="2">
        <f t="shared" ca="1" si="4"/>
        <v>5</v>
      </c>
      <c r="U31"/>
      <c r="V31"/>
    </row>
    <row r="32" spans="1:23" x14ac:dyDescent="0.25">
      <c r="A32" s="2">
        <v>61</v>
      </c>
      <c r="B32" s="2" t="str">
        <f>"MR-"&amp;Таблица1[[#This Row],[ID]]</f>
        <v>MR-61</v>
      </c>
      <c r="C32" s="2">
        <v>4</v>
      </c>
      <c r="D32" s="3" t="s">
        <v>33</v>
      </c>
      <c r="E32" s="9">
        <f ca="1">Таблица1[[#Headers],[01.май]]+RANDBETWEEN(1,3)+E31-Таблица1[[#Headers],[01.май]]</f>
        <v>43643</v>
      </c>
      <c r="F32" s="9">
        <f ca="1">Таблица1[[#This Row],[01.май]]+RANDBETWEEN(1,10)</f>
        <v>43644</v>
      </c>
      <c r="G32" s="2">
        <v>4</v>
      </c>
      <c r="H32">
        <f t="shared" ca="1" si="0"/>
        <v>1</v>
      </c>
      <c r="I32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1</v>
      </c>
      <c r="J32" s="2">
        <v>0</v>
      </c>
      <c r="K32" s="2">
        <f t="shared" ca="1" si="1"/>
        <v>3</v>
      </c>
      <c r="L32" s="2">
        <f>VLOOKUP(Таблица1[[#This Row],[Release]],Релизы!A:B,2,FALSE)</f>
        <v>1</v>
      </c>
      <c r="M32" s="2" t="s">
        <v>146</v>
      </c>
      <c r="N32" s="2">
        <v>6</v>
      </c>
      <c r="O32" s="2">
        <f t="shared" ca="1" si="2"/>
        <v>1</v>
      </c>
      <c r="P32" s="2">
        <v>5</v>
      </c>
      <c r="Q32" s="2">
        <f>Таблица1[[#This Row],[ID]]</f>
        <v>61</v>
      </c>
      <c r="R32" s="2">
        <v>9</v>
      </c>
      <c r="S32" s="2">
        <f t="shared" ca="1" si="4"/>
        <v>7</v>
      </c>
      <c r="U32"/>
      <c r="V32"/>
    </row>
    <row r="33" spans="1:22" x14ac:dyDescent="0.25">
      <c r="A33" s="2">
        <v>63</v>
      </c>
      <c r="B33" s="2" t="str">
        <f>"MR-"&amp;Таблица1[[#This Row],[ID]]</f>
        <v>MR-63</v>
      </c>
      <c r="C33" s="2">
        <v>3</v>
      </c>
      <c r="D33" s="3" t="s">
        <v>34</v>
      </c>
      <c r="E33" s="9">
        <f ca="1">Таблица1[[#Headers],[01.май]]+RANDBETWEEN(1,3)+E32-Таблица1[[#Headers],[01.май]]</f>
        <v>43646</v>
      </c>
      <c r="F33" s="9">
        <f ca="1">Таблица1[[#This Row],[01.май]]+RANDBETWEEN(1,10)</f>
        <v>43650</v>
      </c>
      <c r="G33" s="2">
        <v>4</v>
      </c>
      <c r="H33">
        <f t="shared" ca="1" si="0"/>
        <v>4</v>
      </c>
      <c r="I33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4</v>
      </c>
      <c r="J33" s="2">
        <v>0</v>
      </c>
      <c r="K33" s="2">
        <f t="shared" ca="1" si="1"/>
        <v>1</v>
      </c>
      <c r="L33" s="2">
        <f>VLOOKUP(Таблица1[[#This Row],[Release]],Релизы!A:B,2,FALSE)</f>
        <v>1</v>
      </c>
      <c r="M33" s="2" t="s">
        <v>146</v>
      </c>
      <c r="N33" s="2">
        <v>6</v>
      </c>
      <c r="O33" s="2">
        <f t="shared" ca="1" si="2"/>
        <v>1</v>
      </c>
      <c r="P33" s="2">
        <v>5</v>
      </c>
      <c r="Q33" s="2">
        <f>Таблица1[[#This Row],[ID]]</f>
        <v>63</v>
      </c>
      <c r="R33" s="2">
        <v>9</v>
      </c>
      <c r="S33" s="2">
        <f t="shared" ca="1" si="4"/>
        <v>5</v>
      </c>
      <c r="U33"/>
      <c r="V33"/>
    </row>
    <row r="34" spans="1:22" x14ac:dyDescent="0.25">
      <c r="A34" s="2">
        <v>65</v>
      </c>
      <c r="B34" s="2" t="str">
        <f>"MR-"&amp;Таблица1[[#This Row],[ID]]</f>
        <v>MR-65</v>
      </c>
      <c r="C34" s="2">
        <v>3</v>
      </c>
      <c r="D34" s="3" t="s">
        <v>35</v>
      </c>
      <c r="E34" s="9">
        <f ca="1">Таблица1[[#Headers],[01.май]]+RANDBETWEEN(1,3)+E33-Таблица1[[#Headers],[01.май]]</f>
        <v>43647</v>
      </c>
      <c r="F34" s="9">
        <f ca="1">Таблица1[[#This Row],[01.май]]+RANDBETWEEN(1,10)</f>
        <v>43657</v>
      </c>
      <c r="G34" s="2">
        <v>4</v>
      </c>
      <c r="H34">
        <f t="shared" ref="H34:H65" ca="1" si="5">RANDBETWEEN(1,10)</f>
        <v>7</v>
      </c>
      <c r="I34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6</v>
      </c>
      <c r="J34" s="2">
        <v>0</v>
      </c>
      <c r="K34" s="2">
        <f t="shared" ref="K34:K65" ca="1" si="6">RANDBETWEEN(1,3)</f>
        <v>2</v>
      </c>
      <c r="L34" s="2">
        <f>VLOOKUP(Таблица1[[#This Row],[Release]],Релизы!A:B,2,FALSE)</f>
        <v>1</v>
      </c>
      <c r="M34" s="2" t="s">
        <v>146</v>
      </c>
      <c r="N34" s="2">
        <v>7</v>
      </c>
      <c r="O34" s="2">
        <f t="shared" ref="O34:O65" ca="1" si="7">IF(RANDBETWEEN(0,10)&gt;5,1,0)</f>
        <v>0</v>
      </c>
      <c r="P34" s="2">
        <v>7</v>
      </c>
      <c r="Q34" s="2">
        <f>Таблица1[[#This Row],[ID]]</f>
        <v>65</v>
      </c>
      <c r="R34" s="2">
        <v>9</v>
      </c>
      <c r="S34" s="2">
        <f t="shared" ca="1" si="4"/>
        <v>6</v>
      </c>
      <c r="U34"/>
      <c r="V34"/>
    </row>
    <row r="35" spans="1:22" x14ac:dyDescent="0.25">
      <c r="A35" s="2">
        <v>67</v>
      </c>
      <c r="B35" s="2" t="str">
        <f>"MR-"&amp;Таблица1[[#This Row],[ID]]</f>
        <v>MR-67</v>
      </c>
      <c r="C35" s="2">
        <v>5</v>
      </c>
      <c r="D35" s="3" t="s">
        <v>208</v>
      </c>
      <c r="E35" s="9">
        <f ca="1">Таблица1[[#Headers],[01.май]]+RANDBETWEEN(1,3)+E34-Таблица1[[#Headers],[01.май]]</f>
        <v>43650</v>
      </c>
      <c r="F35" s="9">
        <f ca="1">Таблица1[[#This Row],[01.май]]+RANDBETWEEN(1,10)</f>
        <v>43656</v>
      </c>
      <c r="G35" s="2">
        <v>4</v>
      </c>
      <c r="H35">
        <f t="shared" ca="1" si="5"/>
        <v>10</v>
      </c>
      <c r="I35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9</v>
      </c>
      <c r="J35" s="2">
        <v>0</v>
      </c>
      <c r="K35" s="2">
        <f t="shared" ca="1" si="6"/>
        <v>1</v>
      </c>
      <c r="L35" s="2">
        <f>VLOOKUP(Таблица1[[#This Row],[Release]],Релизы!A:B,2,FALSE)</f>
        <v>1</v>
      </c>
      <c r="M35" s="2" t="s">
        <v>146</v>
      </c>
      <c r="N35" s="2">
        <v>7</v>
      </c>
      <c r="O35" s="2">
        <f t="shared" ca="1" si="7"/>
        <v>1</v>
      </c>
      <c r="P35" s="2">
        <v>7</v>
      </c>
      <c r="Q35" s="2">
        <f>Таблица1[[#This Row],[ID]]</f>
        <v>67</v>
      </c>
      <c r="R35" s="2">
        <v>9</v>
      </c>
      <c r="S35" s="2">
        <f t="shared" ca="1" si="4"/>
        <v>4</v>
      </c>
      <c r="U35"/>
      <c r="V35"/>
    </row>
    <row r="36" spans="1:22" x14ac:dyDescent="0.25">
      <c r="A36" s="2">
        <v>69</v>
      </c>
      <c r="B36" s="2" t="str">
        <f>"MR-"&amp;Таблица1[[#This Row],[ID]]</f>
        <v>MR-69</v>
      </c>
      <c r="C36" s="2">
        <v>2</v>
      </c>
      <c r="D36" s="3" t="s">
        <v>36</v>
      </c>
      <c r="E36" s="9">
        <f ca="1">Таблица1[[#Headers],[01.май]]+RANDBETWEEN(1,3)+E35-Таблица1[[#Headers],[01.май]]</f>
        <v>43651</v>
      </c>
      <c r="F36" s="9">
        <f ca="1">Таблица1[[#This Row],[01.май]]+RANDBETWEEN(1,10)</f>
        <v>43659</v>
      </c>
      <c r="G36" s="2">
        <v>4</v>
      </c>
      <c r="H36">
        <f t="shared" ca="1" si="5"/>
        <v>6</v>
      </c>
      <c r="I36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5</v>
      </c>
      <c r="J36" s="2">
        <v>0</v>
      </c>
      <c r="K36" s="2">
        <f t="shared" ca="1" si="6"/>
        <v>3</v>
      </c>
      <c r="L36" s="2">
        <f>VLOOKUP(Таблица1[[#This Row],[Release]],Релизы!A:B,2,FALSE)</f>
        <v>1</v>
      </c>
      <c r="M36" s="2" t="s">
        <v>146</v>
      </c>
      <c r="N36" s="2">
        <v>7</v>
      </c>
      <c r="O36" s="2">
        <f t="shared" ca="1" si="7"/>
        <v>1</v>
      </c>
      <c r="P36" s="2">
        <v>7</v>
      </c>
      <c r="Q36" s="2">
        <f>Таблица1[[#This Row],[ID]]</f>
        <v>69</v>
      </c>
      <c r="R36" s="2">
        <v>9</v>
      </c>
      <c r="S36" s="2">
        <f t="shared" ca="1" si="4"/>
        <v>4</v>
      </c>
      <c r="U36"/>
      <c r="V36"/>
    </row>
    <row r="37" spans="1:22" x14ac:dyDescent="0.25">
      <c r="A37" s="2">
        <v>71</v>
      </c>
      <c r="B37" s="2" t="str">
        <f>"MR-"&amp;Таблица1[[#This Row],[ID]]</f>
        <v>MR-71</v>
      </c>
      <c r="C37" s="2">
        <v>3</v>
      </c>
      <c r="D37" s="3" t="s">
        <v>37</v>
      </c>
      <c r="E37" s="9">
        <f ca="1">Таблица1[[#Headers],[01.май]]+RANDBETWEEN(1,3)+E36-Таблица1[[#Headers],[01.май]]</f>
        <v>43652</v>
      </c>
      <c r="F37" s="9">
        <f ca="1">Таблица1[[#This Row],[01.май]]+RANDBETWEEN(1,10)</f>
        <v>43657</v>
      </c>
      <c r="G37" s="2">
        <v>4</v>
      </c>
      <c r="H37">
        <f t="shared" ca="1" si="5"/>
        <v>6</v>
      </c>
      <c r="I37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5</v>
      </c>
      <c r="J37" s="2">
        <v>0</v>
      </c>
      <c r="K37" s="2">
        <f t="shared" ca="1" si="6"/>
        <v>3</v>
      </c>
      <c r="L37" s="2">
        <f>VLOOKUP(Таблица1[[#This Row],[Release]],Релизы!A:B,2,FALSE)</f>
        <v>1</v>
      </c>
      <c r="M37" s="2" t="s">
        <v>146</v>
      </c>
      <c r="N37" s="2">
        <v>7</v>
      </c>
      <c r="O37" s="2">
        <f t="shared" ca="1" si="7"/>
        <v>1</v>
      </c>
      <c r="P37" s="2">
        <v>7</v>
      </c>
      <c r="Q37" s="2">
        <f>Таблица1[[#This Row],[ID]]</f>
        <v>71</v>
      </c>
      <c r="R37" s="2">
        <v>9</v>
      </c>
      <c r="S37" s="2">
        <f t="shared" ca="1" si="4"/>
        <v>3</v>
      </c>
    </row>
    <row r="38" spans="1:22" x14ac:dyDescent="0.25">
      <c r="A38" s="2">
        <v>73</v>
      </c>
      <c r="B38" s="2" t="str">
        <f>"MR-"&amp;Таблица1[[#This Row],[ID]]</f>
        <v>MR-73</v>
      </c>
      <c r="C38" s="2">
        <v>4</v>
      </c>
      <c r="D38" s="3" t="s">
        <v>38</v>
      </c>
      <c r="E38" s="9">
        <f ca="1">Таблица1[[#Headers],[01.май]]+RANDBETWEEN(1,3)+E37-Таблица1[[#Headers],[01.май]]</f>
        <v>43655</v>
      </c>
      <c r="F38" s="9">
        <f ca="1">Таблица1[[#This Row],[01.май]]+RANDBETWEEN(1,10)</f>
        <v>43659</v>
      </c>
      <c r="G38" s="2">
        <v>4</v>
      </c>
      <c r="H38">
        <f t="shared" ca="1" si="5"/>
        <v>1</v>
      </c>
      <c r="I38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1</v>
      </c>
      <c r="J38" s="2">
        <v>0</v>
      </c>
      <c r="K38" s="2">
        <f t="shared" ca="1" si="6"/>
        <v>2</v>
      </c>
      <c r="L38" s="2">
        <f>VLOOKUP(Таблица1[[#This Row],[Release]],Релизы!A:B,2,FALSE)</f>
        <v>4</v>
      </c>
      <c r="M38" s="2" t="s">
        <v>146</v>
      </c>
      <c r="N38" s="2">
        <v>7</v>
      </c>
      <c r="O38" s="2">
        <f t="shared" ca="1" si="7"/>
        <v>1</v>
      </c>
      <c r="P38" s="2">
        <v>7</v>
      </c>
      <c r="Q38" s="2">
        <f>Таблица1[[#This Row],[ID]]</f>
        <v>73</v>
      </c>
      <c r="R38" s="2">
        <v>10</v>
      </c>
      <c r="S38" s="2">
        <f t="shared" ca="1" si="4"/>
        <v>3</v>
      </c>
    </row>
    <row r="39" spans="1:22" x14ac:dyDescent="0.25">
      <c r="A39" s="2">
        <v>75</v>
      </c>
      <c r="B39" s="2" t="str">
        <f>"MR-"&amp;Таблица1[[#This Row],[ID]]</f>
        <v>MR-75</v>
      </c>
      <c r="C39" s="2">
        <v>5</v>
      </c>
      <c r="D39" s="3" t="s">
        <v>39</v>
      </c>
      <c r="E39" s="9">
        <f ca="1">Таблица1[[#Headers],[01.май]]+RANDBETWEEN(1,3)+E38-Таблица1[[#Headers],[01.май]]</f>
        <v>43657</v>
      </c>
      <c r="F39" s="9">
        <f ca="1">Таблица1[[#This Row],[01.май]]+RANDBETWEEN(1,10)</f>
        <v>43661</v>
      </c>
      <c r="G39" s="2">
        <v>4</v>
      </c>
      <c r="H39">
        <f t="shared" ca="1" si="5"/>
        <v>5</v>
      </c>
      <c r="I39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5</v>
      </c>
      <c r="J39" s="2">
        <v>0</v>
      </c>
      <c r="K39" s="2">
        <f t="shared" ca="1" si="6"/>
        <v>3</v>
      </c>
      <c r="L39" s="2">
        <f>VLOOKUP(Таблица1[[#This Row],[Release]],Релизы!A:B,2,FALSE)</f>
        <v>4</v>
      </c>
      <c r="M39" s="2" t="s">
        <v>146</v>
      </c>
      <c r="N39" s="2">
        <v>7</v>
      </c>
      <c r="O39" s="2">
        <f t="shared" ca="1" si="7"/>
        <v>0</v>
      </c>
      <c r="P39" s="2">
        <v>7</v>
      </c>
      <c r="Q39" s="2">
        <f>Таблица1[[#This Row],[ID]]</f>
        <v>75</v>
      </c>
      <c r="R39" s="2">
        <v>10</v>
      </c>
      <c r="S39" s="2">
        <f t="shared" ca="1" si="4"/>
        <v>5</v>
      </c>
    </row>
    <row r="40" spans="1:22" x14ac:dyDescent="0.25">
      <c r="A40" s="2">
        <v>77</v>
      </c>
      <c r="B40" s="2" t="str">
        <f>"MR-"&amp;Таблица1[[#This Row],[ID]]</f>
        <v>MR-77</v>
      </c>
      <c r="C40" s="2">
        <v>2</v>
      </c>
      <c r="D40" s="3" t="s">
        <v>40</v>
      </c>
      <c r="E40" s="9">
        <f ca="1">Таблица1[[#Headers],[01.май]]+RANDBETWEEN(1,3)+E39-Таблица1[[#Headers],[01.май]]</f>
        <v>43658</v>
      </c>
      <c r="F40" s="9">
        <f ca="1">Таблица1[[#This Row],[01.май]]+RANDBETWEEN(1,10)</f>
        <v>43663</v>
      </c>
      <c r="G40" s="2">
        <v>4</v>
      </c>
      <c r="H40">
        <f t="shared" ca="1" si="5"/>
        <v>6</v>
      </c>
      <c r="I40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5</v>
      </c>
      <c r="J40" s="2">
        <v>0</v>
      </c>
      <c r="K40" s="2">
        <f t="shared" ca="1" si="6"/>
        <v>2</v>
      </c>
      <c r="L40" s="2">
        <f>VLOOKUP(Таблица1[[#This Row],[Release]],Релизы!A:B,2,FALSE)</f>
        <v>4</v>
      </c>
      <c r="M40" s="2" t="s">
        <v>146</v>
      </c>
      <c r="N40" s="2">
        <v>7</v>
      </c>
      <c r="O40" s="2">
        <f t="shared" ca="1" si="7"/>
        <v>1</v>
      </c>
      <c r="P40" s="2">
        <v>7</v>
      </c>
      <c r="Q40" s="2">
        <f>Таблица1[[#This Row],[ID]]</f>
        <v>77</v>
      </c>
      <c r="R40" s="2">
        <v>10</v>
      </c>
      <c r="S40" s="2">
        <f t="shared" ca="1" si="4"/>
        <v>5</v>
      </c>
    </row>
    <row r="41" spans="1:22" x14ac:dyDescent="0.25">
      <c r="A41" s="2">
        <v>79</v>
      </c>
      <c r="B41" s="2" t="str">
        <f>"MR-"&amp;Таблица1[[#This Row],[ID]]</f>
        <v>MR-79</v>
      </c>
      <c r="C41" s="2">
        <v>2</v>
      </c>
      <c r="D41" s="3" t="s">
        <v>209</v>
      </c>
      <c r="E41" s="9">
        <f ca="1">Таблица1[[#Headers],[01.май]]+RANDBETWEEN(1,3)+E40-Таблица1[[#Headers],[01.май]]</f>
        <v>43661</v>
      </c>
      <c r="F41" s="9">
        <f ca="1">Таблица1[[#This Row],[01.май]]+RANDBETWEEN(1,10)</f>
        <v>43670</v>
      </c>
      <c r="G41" s="2">
        <v>4</v>
      </c>
      <c r="H41">
        <f t="shared" ca="1" si="5"/>
        <v>10</v>
      </c>
      <c r="I41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9</v>
      </c>
      <c r="J41" s="2">
        <v>0</v>
      </c>
      <c r="K41" s="2">
        <f t="shared" ca="1" si="6"/>
        <v>1</v>
      </c>
      <c r="L41" s="2">
        <f>VLOOKUP(Таблица1[[#This Row],[Release]],Релизы!A:B,2,FALSE)</f>
        <v>4</v>
      </c>
      <c r="M41" s="2" t="s">
        <v>146</v>
      </c>
      <c r="N41" s="2">
        <v>7</v>
      </c>
      <c r="O41" s="2">
        <f t="shared" ca="1" si="7"/>
        <v>1</v>
      </c>
      <c r="P41" s="2">
        <v>7</v>
      </c>
      <c r="Q41" s="2">
        <f>Таблица1[[#This Row],[ID]]</f>
        <v>79</v>
      </c>
      <c r="R41" s="2">
        <v>10</v>
      </c>
      <c r="S41" s="2">
        <f t="shared" ca="1" si="4"/>
        <v>6</v>
      </c>
    </row>
    <row r="42" spans="1:22" x14ac:dyDescent="0.25">
      <c r="A42" s="2">
        <v>81</v>
      </c>
      <c r="B42" s="2" t="str">
        <f>"MR-"&amp;Таблица1[[#This Row],[ID]]</f>
        <v>MR-81</v>
      </c>
      <c r="C42" s="2">
        <v>4</v>
      </c>
      <c r="D42" s="3" t="s">
        <v>41</v>
      </c>
      <c r="E42" s="9">
        <f ca="1">Таблица1[[#Headers],[01.май]]+RANDBETWEEN(1,3)+E41-Таблица1[[#Headers],[01.май]]</f>
        <v>43663</v>
      </c>
      <c r="F42" s="9">
        <f ca="1">Таблица1[[#This Row],[01.май]]+RANDBETWEEN(1,10)</f>
        <v>43672</v>
      </c>
      <c r="G42" s="2">
        <v>4</v>
      </c>
      <c r="H42">
        <f t="shared" ca="1" si="5"/>
        <v>4</v>
      </c>
      <c r="I42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4</v>
      </c>
      <c r="J42" s="2">
        <v>0</v>
      </c>
      <c r="K42" s="2">
        <f t="shared" ca="1" si="6"/>
        <v>2</v>
      </c>
      <c r="L42" s="2">
        <f>VLOOKUP(Таблица1[[#This Row],[Release]],Релизы!A:B,2,FALSE)</f>
        <v>4</v>
      </c>
      <c r="M42" s="2" t="s">
        <v>146</v>
      </c>
      <c r="N42" s="2">
        <v>7</v>
      </c>
      <c r="O42" s="2">
        <f t="shared" ca="1" si="7"/>
        <v>0</v>
      </c>
      <c r="P42" s="2">
        <v>7</v>
      </c>
      <c r="Q42" s="2">
        <f>Таблица1[[#This Row],[ID]]</f>
        <v>81</v>
      </c>
      <c r="R42" s="2">
        <v>10</v>
      </c>
      <c r="S42" s="2">
        <f t="shared" ca="1" si="4"/>
        <v>3</v>
      </c>
    </row>
    <row r="43" spans="1:22" x14ac:dyDescent="0.25">
      <c r="A43" s="2">
        <v>83</v>
      </c>
      <c r="B43" s="2" t="str">
        <f>"MR-"&amp;Таблица1[[#This Row],[ID]]</f>
        <v>MR-83</v>
      </c>
      <c r="C43" s="2">
        <v>5</v>
      </c>
      <c r="D43" s="3" t="s">
        <v>42</v>
      </c>
      <c r="E43" s="9">
        <f ca="1">Таблица1[[#Headers],[01.май]]+RANDBETWEEN(1,3)+E42-Таблица1[[#Headers],[01.май]]</f>
        <v>43665</v>
      </c>
      <c r="F43" s="9">
        <f ca="1">Таблица1[[#This Row],[01.май]]+RANDBETWEEN(1,10)</f>
        <v>43675</v>
      </c>
      <c r="G43" s="2">
        <v>4</v>
      </c>
      <c r="H43">
        <f t="shared" ca="1" si="5"/>
        <v>10</v>
      </c>
      <c r="I43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9</v>
      </c>
      <c r="J43" s="2">
        <v>0</v>
      </c>
      <c r="K43" s="2">
        <f t="shared" ca="1" si="6"/>
        <v>1</v>
      </c>
      <c r="L43" s="2">
        <f>VLOOKUP(Таблица1[[#This Row],[Release]],Релизы!A:B,2,FALSE)</f>
        <v>4</v>
      </c>
      <c r="M43" s="2" t="s">
        <v>146</v>
      </c>
      <c r="N43" s="2">
        <v>7</v>
      </c>
      <c r="O43" s="2">
        <f t="shared" ca="1" si="7"/>
        <v>0</v>
      </c>
      <c r="P43" s="2">
        <v>7</v>
      </c>
      <c r="Q43" s="2">
        <f>Таблица1[[#This Row],[ID]]</f>
        <v>83</v>
      </c>
      <c r="R43" s="2">
        <v>10</v>
      </c>
      <c r="S43" s="2">
        <f t="shared" ca="1" si="4"/>
        <v>6</v>
      </c>
    </row>
    <row r="44" spans="1:22" x14ac:dyDescent="0.25">
      <c r="A44" s="2">
        <v>85</v>
      </c>
      <c r="B44" s="2" t="str">
        <f>"MR-"&amp;Таблица1[[#This Row],[ID]]</f>
        <v>MR-85</v>
      </c>
      <c r="C44" s="2">
        <v>1</v>
      </c>
      <c r="D44" s="3" t="s">
        <v>43</v>
      </c>
      <c r="E44" s="9">
        <f ca="1">Таблица1[[#Headers],[01.май]]+RANDBETWEEN(1,3)+E43-Таблица1[[#Headers],[01.май]]</f>
        <v>43667</v>
      </c>
      <c r="F44" s="9">
        <f ca="1">Таблица1[[#This Row],[01.май]]+RANDBETWEEN(1,10)</f>
        <v>43673</v>
      </c>
      <c r="G44" s="2">
        <v>4</v>
      </c>
      <c r="H44">
        <f t="shared" ca="1" si="5"/>
        <v>6</v>
      </c>
      <c r="I44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5</v>
      </c>
      <c r="J44" s="2">
        <v>0</v>
      </c>
      <c r="K44" s="2">
        <f t="shared" ca="1" si="6"/>
        <v>1</v>
      </c>
      <c r="L44" s="2">
        <f>VLOOKUP(Таблица1[[#This Row],[Release]],Релизы!A:B,2,FALSE)</f>
        <v>4</v>
      </c>
      <c r="M44" s="2" t="s">
        <v>146</v>
      </c>
      <c r="N44" s="2">
        <v>7</v>
      </c>
      <c r="O44" s="2">
        <f t="shared" ca="1" si="7"/>
        <v>0</v>
      </c>
      <c r="P44" s="2">
        <v>7</v>
      </c>
      <c r="Q44" s="2">
        <f>Таблица1[[#This Row],[ID]]</f>
        <v>85</v>
      </c>
      <c r="R44" s="2">
        <v>10</v>
      </c>
      <c r="S44" s="2">
        <f t="shared" ca="1" si="4"/>
        <v>5</v>
      </c>
    </row>
    <row r="45" spans="1:22" x14ac:dyDescent="0.25">
      <c r="A45" s="2">
        <v>87</v>
      </c>
      <c r="B45" s="2" t="str">
        <f>"MR-"&amp;Таблица1[[#This Row],[ID]]</f>
        <v>MR-87</v>
      </c>
      <c r="C45" s="2">
        <v>2</v>
      </c>
      <c r="D45" s="3" t="s">
        <v>44</v>
      </c>
      <c r="E45" s="9">
        <f ca="1">Таблица1[[#Headers],[01.май]]+RANDBETWEEN(1,3)+E44-Таблица1[[#Headers],[01.май]]</f>
        <v>43669</v>
      </c>
      <c r="F45" s="9">
        <f ca="1">Таблица1[[#This Row],[01.май]]+RANDBETWEEN(1,10)</f>
        <v>43679</v>
      </c>
      <c r="G45" s="2">
        <v>4</v>
      </c>
      <c r="H45">
        <f t="shared" ca="1" si="5"/>
        <v>2</v>
      </c>
      <c r="I45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2</v>
      </c>
      <c r="J45" s="2">
        <v>0</v>
      </c>
      <c r="K45" s="2">
        <f t="shared" ca="1" si="6"/>
        <v>3</v>
      </c>
      <c r="L45" s="2">
        <f>VLOOKUP(Таблица1[[#This Row],[Release]],Релизы!A:B,2,FALSE)</f>
        <v>1</v>
      </c>
      <c r="M45" s="2" t="s">
        <v>146</v>
      </c>
      <c r="N45" s="2">
        <v>7</v>
      </c>
      <c r="O45" s="2">
        <f t="shared" ca="1" si="7"/>
        <v>0</v>
      </c>
      <c r="P45" s="2">
        <v>9</v>
      </c>
      <c r="Q45" s="2">
        <f>Таблица1[[#This Row],[ID]]</f>
        <v>87</v>
      </c>
      <c r="R45" s="2">
        <v>11</v>
      </c>
      <c r="S45" s="2">
        <f t="shared" ca="1" si="4"/>
        <v>5</v>
      </c>
    </row>
    <row r="46" spans="1:22" x14ac:dyDescent="0.25">
      <c r="A46" s="2">
        <v>89</v>
      </c>
      <c r="B46" s="2" t="str">
        <f>"MR-"&amp;Таблица1[[#This Row],[ID]]</f>
        <v>MR-89</v>
      </c>
      <c r="C46" s="2">
        <v>1</v>
      </c>
      <c r="D46" s="3" t="s">
        <v>45</v>
      </c>
      <c r="E46" s="9">
        <f ca="1">Таблица1[[#Headers],[01.май]]+RANDBETWEEN(1,3)+E45-Таблица1[[#Headers],[01.май]]</f>
        <v>43672</v>
      </c>
      <c r="F46" s="9">
        <f ca="1">Таблица1[[#This Row],[01.май]]+RANDBETWEEN(1,10)</f>
        <v>43676</v>
      </c>
      <c r="G46" s="2">
        <v>4</v>
      </c>
      <c r="H46">
        <f t="shared" ca="1" si="5"/>
        <v>5</v>
      </c>
      <c r="I46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5</v>
      </c>
      <c r="J46" s="2">
        <v>0</v>
      </c>
      <c r="K46" s="2">
        <f t="shared" ca="1" si="6"/>
        <v>3</v>
      </c>
      <c r="L46" s="2">
        <f>VLOOKUP(Таблица1[[#This Row],[Release]],Релизы!A:B,2,FALSE)</f>
        <v>1</v>
      </c>
      <c r="M46" s="2" t="s">
        <v>146</v>
      </c>
      <c r="N46" s="2">
        <v>7</v>
      </c>
      <c r="O46" s="2">
        <f t="shared" ca="1" si="7"/>
        <v>0</v>
      </c>
      <c r="P46" s="2">
        <v>9</v>
      </c>
      <c r="Q46" s="2">
        <f>Таблица1[[#This Row],[ID]]</f>
        <v>89</v>
      </c>
      <c r="R46" s="2">
        <v>11</v>
      </c>
      <c r="S46" s="2">
        <f t="shared" ca="1" si="4"/>
        <v>6</v>
      </c>
    </row>
    <row r="47" spans="1:22" x14ac:dyDescent="0.25">
      <c r="A47" s="2">
        <v>91</v>
      </c>
      <c r="B47" s="2" t="str">
        <f>"MR-"&amp;Таблица1[[#This Row],[ID]]</f>
        <v>MR-91</v>
      </c>
      <c r="C47" s="2">
        <v>2</v>
      </c>
      <c r="D47" s="3" t="s">
        <v>46</v>
      </c>
      <c r="E47" s="9">
        <f ca="1">Таблица1[[#Headers],[01.май]]+RANDBETWEEN(1,3)+E46-Таблица1[[#Headers],[01.май]]</f>
        <v>43674</v>
      </c>
      <c r="F47" s="9">
        <f ca="1">Таблица1[[#This Row],[01.май]]+RANDBETWEEN(1,10)</f>
        <v>43678</v>
      </c>
      <c r="G47" s="2">
        <v>4</v>
      </c>
      <c r="H47">
        <f t="shared" ca="1" si="5"/>
        <v>9</v>
      </c>
      <c r="I47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8</v>
      </c>
      <c r="J47" s="2">
        <v>0</v>
      </c>
      <c r="K47" s="2">
        <f t="shared" ca="1" si="6"/>
        <v>2</v>
      </c>
      <c r="L47" s="2">
        <f>VLOOKUP(Таблица1[[#This Row],[Release]],Релизы!A:B,2,FALSE)</f>
        <v>1</v>
      </c>
      <c r="M47" s="2" t="s">
        <v>146</v>
      </c>
      <c r="N47" s="2">
        <v>7</v>
      </c>
      <c r="O47" s="2">
        <f t="shared" ca="1" si="7"/>
        <v>0</v>
      </c>
      <c r="P47" s="2">
        <v>9</v>
      </c>
      <c r="Q47" s="2">
        <f>Таблица1[[#This Row],[ID]]</f>
        <v>91</v>
      </c>
      <c r="R47" s="2">
        <v>11</v>
      </c>
      <c r="S47" s="2">
        <f t="shared" ca="1" si="4"/>
        <v>3</v>
      </c>
    </row>
    <row r="48" spans="1:22" x14ac:dyDescent="0.25">
      <c r="A48" s="2">
        <v>93</v>
      </c>
      <c r="B48" s="2" t="str">
        <f>"MR-"&amp;Таблица1[[#This Row],[ID]]</f>
        <v>MR-93</v>
      </c>
      <c r="C48" s="2">
        <v>2</v>
      </c>
      <c r="D48" s="3" t="s">
        <v>47</v>
      </c>
      <c r="E48" s="9">
        <f ca="1">Таблица1[[#Headers],[01.май]]+RANDBETWEEN(1,3)+E47-Таблица1[[#Headers],[01.май]]</f>
        <v>43676</v>
      </c>
      <c r="F48" s="9">
        <f ca="1">Таблица1[[#This Row],[01.май]]+RANDBETWEEN(1,10)</f>
        <v>43677</v>
      </c>
      <c r="G48" s="2">
        <v>4</v>
      </c>
      <c r="H48">
        <f t="shared" ca="1" si="5"/>
        <v>4</v>
      </c>
      <c r="I48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4</v>
      </c>
      <c r="J48" s="2">
        <v>0</v>
      </c>
      <c r="K48" s="2">
        <f t="shared" ca="1" si="6"/>
        <v>1</v>
      </c>
      <c r="L48" s="2">
        <f>VLOOKUP(Таблица1[[#This Row],[Release]],Релизы!A:B,2,FALSE)</f>
        <v>1</v>
      </c>
      <c r="M48" s="2" t="s">
        <v>146</v>
      </c>
      <c r="N48" s="2">
        <v>7</v>
      </c>
      <c r="O48" s="2">
        <f t="shared" ca="1" si="7"/>
        <v>1</v>
      </c>
      <c r="P48" s="2">
        <v>9</v>
      </c>
      <c r="Q48" s="2">
        <f>Таблица1[[#This Row],[ID]]</f>
        <v>93</v>
      </c>
      <c r="R48" s="2">
        <v>11</v>
      </c>
      <c r="S48" s="2">
        <f t="shared" ca="1" si="4"/>
        <v>5</v>
      </c>
    </row>
    <row r="49" spans="1:19" x14ac:dyDescent="0.25">
      <c r="A49" s="2">
        <v>95</v>
      </c>
      <c r="B49" s="2" t="str">
        <f>"MR-"&amp;Таблица1[[#This Row],[ID]]</f>
        <v>MR-95</v>
      </c>
      <c r="C49" s="2">
        <v>3</v>
      </c>
      <c r="D49" s="3" t="s">
        <v>48</v>
      </c>
      <c r="E49" s="9">
        <f ca="1">Таблица1[[#Headers],[01.май]]+RANDBETWEEN(1,3)+E48-Таблица1[[#Headers],[01.май]]</f>
        <v>43677</v>
      </c>
      <c r="F49" s="9">
        <f ca="1">Таблица1[[#This Row],[01.май]]+RANDBETWEEN(1,10)</f>
        <v>43683</v>
      </c>
      <c r="G49" s="2">
        <v>4</v>
      </c>
      <c r="H49">
        <f t="shared" ca="1" si="5"/>
        <v>7</v>
      </c>
      <c r="I49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6</v>
      </c>
      <c r="J49" s="2">
        <v>0</v>
      </c>
      <c r="K49" s="2">
        <f t="shared" ca="1" si="6"/>
        <v>2</v>
      </c>
      <c r="L49" s="2">
        <f>VLOOKUP(Таблица1[[#This Row],[Release]],Релизы!A:B,2,FALSE)</f>
        <v>1</v>
      </c>
      <c r="M49" s="2" t="s">
        <v>146</v>
      </c>
      <c r="N49" s="2">
        <v>7</v>
      </c>
      <c r="O49" s="2">
        <f t="shared" ca="1" si="7"/>
        <v>1</v>
      </c>
      <c r="P49" s="2">
        <v>9</v>
      </c>
      <c r="Q49" s="2">
        <f>Таблица1[[#This Row],[ID]]</f>
        <v>95</v>
      </c>
      <c r="R49" s="2">
        <v>11</v>
      </c>
      <c r="S49" s="2">
        <f t="shared" ca="1" si="4"/>
        <v>7</v>
      </c>
    </row>
    <row r="50" spans="1:19" x14ac:dyDescent="0.25">
      <c r="A50" s="2">
        <v>97</v>
      </c>
      <c r="B50" s="2" t="str">
        <f>"MR-"&amp;Таблица1[[#This Row],[ID]]</f>
        <v>MR-97</v>
      </c>
      <c r="C50" s="2">
        <v>3</v>
      </c>
      <c r="D50" s="3" t="s">
        <v>210</v>
      </c>
      <c r="E50" s="9">
        <f ca="1">Таблица1[[#Headers],[01.май]]+RANDBETWEEN(1,3)+E49-Таблица1[[#Headers],[01.май]]</f>
        <v>43679</v>
      </c>
      <c r="F50" s="9">
        <f ca="1">Таблица1[[#This Row],[01.май]]+RANDBETWEEN(1,10)</f>
        <v>43680</v>
      </c>
      <c r="G50" s="2">
        <v>4</v>
      </c>
      <c r="H50">
        <f t="shared" ca="1" si="5"/>
        <v>8</v>
      </c>
      <c r="I50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7</v>
      </c>
      <c r="J50" s="2">
        <v>0</v>
      </c>
      <c r="K50" s="2">
        <f t="shared" ca="1" si="6"/>
        <v>1</v>
      </c>
      <c r="L50" s="2">
        <f>VLOOKUP(Таблица1[[#This Row],[Release]],Релизы!A:B,2,FALSE)</f>
        <v>1</v>
      </c>
      <c r="M50" s="2" t="s">
        <v>146</v>
      </c>
      <c r="N50" s="2">
        <v>7</v>
      </c>
      <c r="O50" s="2">
        <f t="shared" ca="1" si="7"/>
        <v>1</v>
      </c>
      <c r="P50" s="2">
        <v>9</v>
      </c>
      <c r="Q50" s="2">
        <f>Таблица1[[#This Row],[ID]]</f>
        <v>97</v>
      </c>
      <c r="R50" s="2">
        <v>11</v>
      </c>
      <c r="S50" s="2">
        <f t="shared" ca="1" si="4"/>
        <v>4</v>
      </c>
    </row>
    <row r="51" spans="1:19" x14ac:dyDescent="0.25">
      <c r="A51" s="2">
        <v>99</v>
      </c>
      <c r="B51" s="2" t="str">
        <f>"MR-"&amp;Таблица1[[#This Row],[ID]]</f>
        <v>MR-99</v>
      </c>
      <c r="C51" s="2">
        <v>5</v>
      </c>
      <c r="D51" s="3" t="s">
        <v>49</v>
      </c>
      <c r="E51" s="9">
        <f ca="1">Таблица1[[#Headers],[01.май]]+RANDBETWEEN(1,3)+E50-Таблица1[[#Headers],[01.май]]</f>
        <v>43680</v>
      </c>
      <c r="F51" s="9">
        <f ca="1">Таблица1[[#This Row],[01.май]]+RANDBETWEEN(1,10)</f>
        <v>43689</v>
      </c>
      <c r="G51" s="2">
        <v>4</v>
      </c>
      <c r="H51">
        <f t="shared" ca="1" si="5"/>
        <v>1</v>
      </c>
      <c r="I51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1</v>
      </c>
      <c r="J51" s="2">
        <v>0</v>
      </c>
      <c r="K51" s="2">
        <f t="shared" ca="1" si="6"/>
        <v>2</v>
      </c>
      <c r="L51" s="2">
        <f>VLOOKUP(Таблица1[[#This Row],[Release]],Релизы!A:B,2,FALSE)</f>
        <v>1</v>
      </c>
      <c r="M51" s="2" t="s">
        <v>146</v>
      </c>
      <c r="N51" s="2">
        <v>7</v>
      </c>
      <c r="O51" s="2">
        <f t="shared" ca="1" si="7"/>
        <v>1</v>
      </c>
      <c r="P51" s="2">
        <v>9</v>
      </c>
      <c r="Q51" s="2">
        <f>Таблица1[[#This Row],[ID]]</f>
        <v>99</v>
      </c>
      <c r="R51" s="2">
        <v>11</v>
      </c>
      <c r="S51" s="2">
        <f t="shared" ca="1" si="4"/>
        <v>6</v>
      </c>
    </row>
    <row r="52" spans="1:19" x14ac:dyDescent="0.25">
      <c r="A52" s="2">
        <v>101</v>
      </c>
      <c r="B52" s="2" t="str">
        <f>"MR-"&amp;Таблица1[[#This Row],[ID]]</f>
        <v>MR-101</v>
      </c>
      <c r="C52" s="2">
        <v>5</v>
      </c>
      <c r="D52" s="3" t="s">
        <v>211</v>
      </c>
      <c r="E52" s="9">
        <f ca="1">Таблица1[[#Headers],[01.май]]+RANDBETWEEN(1,3)+E51-Таблица1[[#Headers],[01.май]]</f>
        <v>43682</v>
      </c>
      <c r="F52" s="9">
        <f ca="1">Таблица1[[#This Row],[01.май]]+RANDBETWEEN(1,10)</f>
        <v>43688</v>
      </c>
      <c r="G52" s="2">
        <v>4</v>
      </c>
      <c r="H52">
        <f t="shared" ca="1" si="5"/>
        <v>7</v>
      </c>
      <c r="I52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6</v>
      </c>
      <c r="J52" s="2">
        <v>0</v>
      </c>
      <c r="K52" s="2">
        <f t="shared" ca="1" si="6"/>
        <v>3</v>
      </c>
      <c r="L52" s="2">
        <f>VLOOKUP(Таблица1[[#This Row],[Release]],Релизы!A:B,2,FALSE)</f>
        <v>1</v>
      </c>
      <c r="M52" s="2" t="s">
        <v>146</v>
      </c>
      <c r="N52" s="2">
        <v>8</v>
      </c>
      <c r="O52" s="2">
        <f t="shared" ca="1" si="7"/>
        <v>1</v>
      </c>
      <c r="P52" s="2">
        <v>9</v>
      </c>
      <c r="Q52" s="2">
        <f>Таблица1[[#This Row],[ID]]</f>
        <v>101</v>
      </c>
      <c r="R52" s="2">
        <v>11</v>
      </c>
      <c r="S52" s="2">
        <f t="shared" ref="S52:S83" ca="1" si="8">RANDBETWEEN(6,10)</f>
        <v>8</v>
      </c>
    </row>
    <row r="53" spans="1:19" x14ac:dyDescent="0.25">
      <c r="A53" s="2">
        <v>103</v>
      </c>
      <c r="B53" s="2" t="str">
        <f>"MR-"&amp;Таблица1[[#This Row],[ID]]</f>
        <v>MR-103</v>
      </c>
      <c r="C53" s="2">
        <v>3</v>
      </c>
      <c r="D53" s="3" t="s">
        <v>50</v>
      </c>
      <c r="E53" s="9">
        <f ca="1">Таблица1[[#Headers],[01.май]]+RANDBETWEEN(1,3)+E52-Таблица1[[#Headers],[01.май]]</f>
        <v>43685</v>
      </c>
      <c r="F53" s="9">
        <f ca="1">Таблица1[[#This Row],[01.май]]+RANDBETWEEN(1,10)</f>
        <v>43687</v>
      </c>
      <c r="G53" s="2">
        <v>4</v>
      </c>
      <c r="H53">
        <f t="shared" ca="1" si="5"/>
        <v>9</v>
      </c>
      <c r="I53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8</v>
      </c>
      <c r="J53" s="2">
        <v>0</v>
      </c>
      <c r="K53" s="2">
        <f t="shared" ca="1" si="6"/>
        <v>2</v>
      </c>
      <c r="L53" s="2">
        <f>VLOOKUP(Таблица1[[#This Row],[Release]],Релизы!A:B,2,FALSE)</f>
        <v>1</v>
      </c>
      <c r="M53" s="2" t="s">
        <v>146</v>
      </c>
      <c r="N53" s="2">
        <v>8</v>
      </c>
      <c r="O53" s="2">
        <f t="shared" ca="1" si="7"/>
        <v>0</v>
      </c>
      <c r="P53" s="2">
        <v>9</v>
      </c>
      <c r="Q53" s="2">
        <f>Таблица1[[#This Row],[ID]]</f>
        <v>103</v>
      </c>
      <c r="R53" s="2">
        <v>11</v>
      </c>
      <c r="S53" s="2">
        <f t="shared" ca="1" si="8"/>
        <v>7</v>
      </c>
    </row>
    <row r="54" spans="1:19" x14ac:dyDescent="0.25">
      <c r="A54" s="2">
        <v>105</v>
      </c>
      <c r="B54" s="2" t="str">
        <f>"MR-"&amp;Таблица1[[#This Row],[ID]]</f>
        <v>MR-105</v>
      </c>
      <c r="C54" s="2">
        <v>1</v>
      </c>
      <c r="D54" s="3" t="s">
        <v>212</v>
      </c>
      <c r="E54" s="9">
        <f ca="1">Таблица1[[#Headers],[01.май]]+RANDBETWEEN(1,3)+E53-Таблица1[[#Headers],[01.май]]</f>
        <v>43688</v>
      </c>
      <c r="F54" s="9">
        <f ca="1">Таблица1[[#This Row],[01.май]]+RANDBETWEEN(1,10)</f>
        <v>43695</v>
      </c>
      <c r="G54" s="2">
        <v>4</v>
      </c>
      <c r="H54">
        <f t="shared" ca="1" si="5"/>
        <v>6</v>
      </c>
      <c r="I54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5</v>
      </c>
      <c r="J54" s="2">
        <v>0</v>
      </c>
      <c r="K54" s="2">
        <f t="shared" ca="1" si="6"/>
        <v>2</v>
      </c>
      <c r="L54" s="2">
        <f>VLOOKUP(Таблица1[[#This Row],[Release]],Релизы!A:B,2,FALSE)</f>
        <v>1</v>
      </c>
      <c r="M54" s="2" t="s">
        <v>146</v>
      </c>
      <c r="N54" s="2">
        <v>8</v>
      </c>
      <c r="O54" s="2">
        <f t="shared" ca="1" si="7"/>
        <v>0</v>
      </c>
      <c r="P54" s="2">
        <v>9</v>
      </c>
      <c r="Q54" s="2">
        <f>Таблица1[[#This Row],[ID]]</f>
        <v>105</v>
      </c>
      <c r="R54" s="2">
        <v>11</v>
      </c>
      <c r="S54" s="2">
        <f t="shared" ca="1" si="8"/>
        <v>8</v>
      </c>
    </row>
    <row r="55" spans="1:19" x14ac:dyDescent="0.25">
      <c r="A55" s="2">
        <v>107</v>
      </c>
      <c r="B55" s="2" t="str">
        <f>"MR-"&amp;Таблица1[[#This Row],[ID]]</f>
        <v>MR-107</v>
      </c>
      <c r="C55" s="2">
        <v>5</v>
      </c>
      <c r="D55" s="3" t="s">
        <v>51</v>
      </c>
      <c r="E55" s="9">
        <f ca="1">Таблица1[[#Headers],[01.май]]+RANDBETWEEN(1,3)+E54-Таблица1[[#Headers],[01.май]]</f>
        <v>43690</v>
      </c>
      <c r="F55" s="9">
        <f ca="1">Таблица1[[#This Row],[01.май]]+RANDBETWEEN(1,10)</f>
        <v>43692</v>
      </c>
      <c r="G55" s="2">
        <v>4</v>
      </c>
      <c r="H55">
        <f t="shared" ca="1" si="5"/>
        <v>1</v>
      </c>
      <c r="I55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1</v>
      </c>
      <c r="J55" s="2">
        <v>0</v>
      </c>
      <c r="K55" s="2">
        <f t="shared" ca="1" si="6"/>
        <v>2</v>
      </c>
      <c r="L55" s="2">
        <f>VLOOKUP(Таблица1[[#This Row],[Release]],Релизы!A:B,2,FALSE)</f>
        <v>1</v>
      </c>
      <c r="M55" s="2" t="s">
        <v>146</v>
      </c>
      <c r="N55" s="2">
        <v>8</v>
      </c>
      <c r="O55" s="2">
        <f t="shared" ca="1" si="7"/>
        <v>1</v>
      </c>
      <c r="P55" s="2">
        <v>9</v>
      </c>
      <c r="Q55" s="2">
        <f>Таблица1[[#This Row],[ID]]</f>
        <v>107</v>
      </c>
      <c r="R55" s="2">
        <v>11</v>
      </c>
      <c r="S55" s="2">
        <f t="shared" ca="1" si="8"/>
        <v>7</v>
      </c>
    </row>
    <row r="56" spans="1:19" x14ac:dyDescent="0.25">
      <c r="A56" s="2">
        <v>109</v>
      </c>
      <c r="B56" s="2" t="str">
        <f>"MR-"&amp;Таблица1[[#This Row],[ID]]</f>
        <v>MR-109</v>
      </c>
      <c r="C56" s="2">
        <v>3</v>
      </c>
      <c r="D56" s="3" t="s">
        <v>52</v>
      </c>
      <c r="E56" s="9">
        <f ca="1">Таблица1[[#Headers],[01.май]]+RANDBETWEEN(1,3)+E55-Таблица1[[#Headers],[01.май]]</f>
        <v>43691</v>
      </c>
      <c r="F56" s="9">
        <f ca="1">Таблица1[[#This Row],[01.май]]+RANDBETWEEN(1,10)</f>
        <v>43700</v>
      </c>
      <c r="G56" s="2">
        <v>4</v>
      </c>
      <c r="H56">
        <f t="shared" ca="1" si="5"/>
        <v>1</v>
      </c>
      <c r="I56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1</v>
      </c>
      <c r="J56" s="2">
        <v>0</v>
      </c>
      <c r="K56" s="2">
        <f t="shared" ca="1" si="6"/>
        <v>1</v>
      </c>
      <c r="L56" s="2">
        <f>VLOOKUP(Таблица1[[#This Row],[Release]],Релизы!A:B,2,FALSE)</f>
        <v>1</v>
      </c>
      <c r="M56" s="2" t="s">
        <v>146</v>
      </c>
      <c r="N56" s="2">
        <v>8</v>
      </c>
      <c r="O56" s="2">
        <f t="shared" ca="1" si="7"/>
        <v>0</v>
      </c>
      <c r="P56" s="2">
        <v>9</v>
      </c>
      <c r="Q56" s="2">
        <f>Таблица1[[#This Row],[ID]]</f>
        <v>109</v>
      </c>
      <c r="R56" s="2">
        <v>11</v>
      </c>
      <c r="S56" s="2">
        <f t="shared" ca="1" si="8"/>
        <v>9</v>
      </c>
    </row>
    <row r="57" spans="1:19" x14ac:dyDescent="0.25">
      <c r="A57" s="2">
        <v>111</v>
      </c>
      <c r="B57" s="2" t="str">
        <f>"MR-"&amp;Таблица1[[#This Row],[ID]]</f>
        <v>MR-111</v>
      </c>
      <c r="C57" s="2">
        <v>4</v>
      </c>
      <c r="D57" s="3" t="s">
        <v>213</v>
      </c>
      <c r="E57" s="9">
        <f ca="1">Таблица1[[#Headers],[01.май]]+RANDBETWEEN(1,3)+E56-Таблица1[[#Headers],[01.май]]</f>
        <v>43692</v>
      </c>
      <c r="F57" s="9">
        <f ca="1">Таблица1[[#This Row],[01.май]]+RANDBETWEEN(1,10)</f>
        <v>43693</v>
      </c>
      <c r="G57" s="2">
        <v>4</v>
      </c>
      <c r="H57">
        <f t="shared" ca="1" si="5"/>
        <v>9</v>
      </c>
      <c r="I57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8</v>
      </c>
      <c r="J57" s="2">
        <v>0</v>
      </c>
      <c r="K57" s="2">
        <f t="shared" ca="1" si="6"/>
        <v>3</v>
      </c>
      <c r="L57" s="2">
        <f>VLOOKUP(Таблица1[[#This Row],[Release]],Релизы!A:B,2,FALSE)</f>
        <v>1</v>
      </c>
      <c r="M57" s="2" t="s">
        <v>146</v>
      </c>
      <c r="N57" s="2">
        <v>8</v>
      </c>
      <c r="O57" s="2">
        <f t="shared" ca="1" si="7"/>
        <v>0</v>
      </c>
      <c r="P57" s="2">
        <v>9</v>
      </c>
      <c r="Q57" s="2">
        <f>Таблица1[[#This Row],[ID]]</f>
        <v>111</v>
      </c>
      <c r="R57" s="2">
        <v>11</v>
      </c>
      <c r="S57" s="2">
        <f t="shared" ca="1" si="8"/>
        <v>7</v>
      </c>
    </row>
    <row r="58" spans="1:19" x14ac:dyDescent="0.25">
      <c r="A58" s="2">
        <v>113</v>
      </c>
      <c r="B58" s="2" t="str">
        <f>"MR-"&amp;Таблица1[[#This Row],[ID]]</f>
        <v>MR-113</v>
      </c>
      <c r="C58" s="2">
        <v>4</v>
      </c>
      <c r="D58" s="3" t="s">
        <v>214</v>
      </c>
      <c r="E58" s="9">
        <f ca="1">Таблица1[[#Headers],[01.май]]+RANDBETWEEN(1,3)+E57-Таблица1[[#Headers],[01.май]]</f>
        <v>43694</v>
      </c>
      <c r="F58" s="9">
        <f ca="1">Таблица1[[#This Row],[01.май]]+RANDBETWEEN(1,10)</f>
        <v>43704</v>
      </c>
      <c r="G58" s="2">
        <v>4</v>
      </c>
      <c r="H58">
        <f t="shared" ca="1" si="5"/>
        <v>6</v>
      </c>
      <c r="I58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5</v>
      </c>
      <c r="J58" s="2">
        <v>0</v>
      </c>
      <c r="K58" s="2">
        <f t="shared" ca="1" si="6"/>
        <v>3</v>
      </c>
      <c r="L58" s="2">
        <f>VLOOKUP(Таблица1[[#This Row],[Release]],Релизы!A:B,2,FALSE)</f>
        <v>1</v>
      </c>
      <c r="M58" s="2" t="s">
        <v>146</v>
      </c>
      <c r="N58" s="2">
        <v>8</v>
      </c>
      <c r="O58" s="2">
        <f t="shared" ca="1" si="7"/>
        <v>1</v>
      </c>
      <c r="P58" s="2">
        <v>9</v>
      </c>
      <c r="Q58" s="2">
        <f>Таблица1[[#This Row],[ID]]</f>
        <v>113</v>
      </c>
      <c r="R58" s="2">
        <v>11</v>
      </c>
      <c r="S58" s="2">
        <f t="shared" ca="1" si="8"/>
        <v>8</v>
      </c>
    </row>
    <row r="59" spans="1:19" x14ac:dyDescent="0.25">
      <c r="A59" s="2">
        <v>115</v>
      </c>
      <c r="B59" s="2" t="str">
        <f>"MR-"&amp;Таблица1[[#This Row],[ID]]</f>
        <v>MR-115</v>
      </c>
      <c r="C59" s="2">
        <v>5</v>
      </c>
      <c r="D59" s="3" t="s">
        <v>53</v>
      </c>
      <c r="E59" s="9">
        <f ca="1">Таблица1[[#Headers],[01.май]]+RANDBETWEEN(1,3)+E58-Таблица1[[#Headers],[01.май]]</f>
        <v>43696</v>
      </c>
      <c r="F59" s="9">
        <f ca="1">Таблица1[[#This Row],[01.май]]+RANDBETWEEN(1,10)</f>
        <v>43701</v>
      </c>
      <c r="G59" s="2">
        <v>4</v>
      </c>
      <c r="H59">
        <f t="shared" ca="1" si="5"/>
        <v>9</v>
      </c>
      <c r="I59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8</v>
      </c>
      <c r="J59" s="2">
        <v>0</v>
      </c>
      <c r="K59" s="2">
        <f t="shared" ca="1" si="6"/>
        <v>2</v>
      </c>
      <c r="L59" s="2">
        <f>VLOOKUP(Таблица1[[#This Row],[Release]],Релизы!A:B,2,FALSE)</f>
        <v>1</v>
      </c>
      <c r="M59" s="2" t="s">
        <v>146</v>
      </c>
      <c r="N59" s="2">
        <v>8</v>
      </c>
      <c r="O59" s="2">
        <f t="shared" ca="1" si="7"/>
        <v>1</v>
      </c>
      <c r="P59" s="2">
        <v>9</v>
      </c>
      <c r="Q59" s="2">
        <f>Таблица1[[#This Row],[ID]]</f>
        <v>115</v>
      </c>
      <c r="R59" s="2">
        <v>11</v>
      </c>
      <c r="S59" s="2">
        <f t="shared" ca="1" si="8"/>
        <v>10</v>
      </c>
    </row>
    <row r="60" spans="1:19" x14ac:dyDescent="0.25">
      <c r="A60" s="2">
        <v>117</v>
      </c>
      <c r="B60" s="2" t="str">
        <f>"MR-"&amp;Таблица1[[#This Row],[ID]]</f>
        <v>MR-117</v>
      </c>
      <c r="C60" s="2">
        <v>3</v>
      </c>
      <c r="D60" s="3" t="s">
        <v>54</v>
      </c>
      <c r="E60" s="9">
        <f ca="1">Таблица1[[#Headers],[01.май]]+RANDBETWEEN(1,3)+E59-Таблица1[[#Headers],[01.май]]</f>
        <v>43697</v>
      </c>
      <c r="F60" s="9">
        <f ca="1">Таблица1[[#This Row],[01.май]]+RANDBETWEEN(1,10)</f>
        <v>43702</v>
      </c>
      <c r="G60" s="2">
        <v>4</v>
      </c>
      <c r="H60">
        <f t="shared" ca="1" si="5"/>
        <v>8</v>
      </c>
      <c r="I60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7</v>
      </c>
      <c r="J60" s="2">
        <v>0</v>
      </c>
      <c r="K60" s="2">
        <f t="shared" ca="1" si="6"/>
        <v>1</v>
      </c>
      <c r="L60" s="2">
        <f>VLOOKUP(Таблица1[[#This Row],[Release]],Релизы!A:B,2,FALSE)</f>
        <v>2</v>
      </c>
      <c r="M60" s="2" t="s">
        <v>146</v>
      </c>
      <c r="N60" s="2">
        <v>8</v>
      </c>
      <c r="O60" s="2">
        <f t="shared" ca="1" si="7"/>
        <v>1</v>
      </c>
      <c r="P60" s="2">
        <v>11</v>
      </c>
      <c r="Q60" s="2">
        <f>Таблица1[[#This Row],[ID]]</f>
        <v>117</v>
      </c>
      <c r="R60" s="2">
        <v>12</v>
      </c>
      <c r="S60" s="2">
        <f t="shared" ca="1" si="8"/>
        <v>7</v>
      </c>
    </row>
    <row r="61" spans="1:19" x14ac:dyDescent="0.25">
      <c r="A61" s="2">
        <v>119</v>
      </c>
      <c r="B61" s="2" t="str">
        <f>"MR-"&amp;Таблица1[[#This Row],[ID]]</f>
        <v>MR-119</v>
      </c>
      <c r="C61" s="2">
        <v>1</v>
      </c>
      <c r="D61" s="3" t="s">
        <v>55</v>
      </c>
      <c r="E61" s="9">
        <f ca="1">Таблица1[[#Headers],[01.май]]+RANDBETWEEN(1,3)+E60-Таблица1[[#Headers],[01.май]]</f>
        <v>43699</v>
      </c>
      <c r="F61" s="9">
        <f ca="1">Таблица1[[#This Row],[01.май]]+RANDBETWEEN(1,10)</f>
        <v>43702</v>
      </c>
      <c r="G61" s="2">
        <v>4</v>
      </c>
      <c r="H61">
        <f t="shared" ca="1" si="5"/>
        <v>1</v>
      </c>
      <c r="I61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1</v>
      </c>
      <c r="J61" s="2">
        <v>0</v>
      </c>
      <c r="K61" s="2">
        <f t="shared" ca="1" si="6"/>
        <v>2</v>
      </c>
      <c r="L61" s="2">
        <f>VLOOKUP(Таблица1[[#This Row],[Release]],Релизы!A:B,2,FALSE)</f>
        <v>2</v>
      </c>
      <c r="M61" s="2" t="s">
        <v>146</v>
      </c>
      <c r="N61" s="2">
        <v>8</v>
      </c>
      <c r="O61" s="2">
        <f t="shared" ca="1" si="7"/>
        <v>1</v>
      </c>
      <c r="P61" s="2">
        <v>11</v>
      </c>
      <c r="Q61" s="2">
        <f>Таблица1[[#This Row],[ID]]</f>
        <v>119</v>
      </c>
      <c r="R61" s="2">
        <v>12</v>
      </c>
      <c r="S61" s="2">
        <f t="shared" ca="1" si="8"/>
        <v>7</v>
      </c>
    </row>
    <row r="62" spans="1:19" x14ac:dyDescent="0.25">
      <c r="A62" s="2">
        <v>121</v>
      </c>
      <c r="B62" s="2" t="str">
        <f>"MR-"&amp;Таблица1[[#This Row],[ID]]</f>
        <v>MR-121</v>
      </c>
      <c r="C62" s="2">
        <v>3</v>
      </c>
      <c r="D62" s="3" t="s">
        <v>56</v>
      </c>
      <c r="E62" s="9">
        <f ca="1">Таблица1[[#Headers],[01.май]]+RANDBETWEEN(1,3)+E61-Таблица1[[#Headers],[01.май]]</f>
        <v>43701</v>
      </c>
      <c r="F62" s="9">
        <f ca="1">Таблица1[[#This Row],[01.май]]+RANDBETWEEN(1,10)</f>
        <v>43708</v>
      </c>
      <c r="G62" s="2">
        <v>4</v>
      </c>
      <c r="H62">
        <f t="shared" ca="1" si="5"/>
        <v>2</v>
      </c>
      <c r="I62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2</v>
      </c>
      <c r="J62" s="2">
        <v>0</v>
      </c>
      <c r="K62" s="2">
        <f t="shared" ca="1" si="6"/>
        <v>2</v>
      </c>
      <c r="L62" s="2">
        <f>VLOOKUP(Таблица1[[#This Row],[Release]],Релизы!A:B,2,FALSE)</f>
        <v>2</v>
      </c>
      <c r="M62" s="2" t="s">
        <v>146</v>
      </c>
      <c r="N62" s="2">
        <v>8</v>
      </c>
      <c r="O62" s="2">
        <f t="shared" ca="1" si="7"/>
        <v>0</v>
      </c>
      <c r="P62" s="2">
        <v>11</v>
      </c>
      <c r="Q62" s="2">
        <f>Таблица1[[#This Row],[ID]]</f>
        <v>121</v>
      </c>
      <c r="R62" s="2">
        <v>12</v>
      </c>
      <c r="S62" s="2">
        <f t="shared" ca="1" si="8"/>
        <v>8</v>
      </c>
    </row>
    <row r="63" spans="1:19" x14ac:dyDescent="0.25">
      <c r="A63" s="2">
        <v>123</v>
      </c>
      <c r="B63" s="2" t="str">
        <f>"MR-"&amp;Таблица1[[#This Row],[ID]]</f>
        <v>MR-123</v>
      </c>
      <c r="C63" s="2">
        <v>3</v>
      </c>
      <c r="D63" s="3" t="s">
        <v>57</v>
      </c>
      <c r="E63" s="9">
        <f ca="1">Таблица1[[#Headers],[01.май]]+RANDBETWEEN(1,3)+E62-Таблица1[[#Headers],[01.май]]</f>
        <v>43703</v>
      </c>
      <c r="F63" s="9">
        <f ca="1">Таблица1[[#This Row],[01.май]]+RANDBETWEEN(1,10)</f>
        <v>43705</v>
      </c>
      <c r="G63" s="2">
        <v>3</v>
      </c>
      <c r="H63">
        <f t="shared" ca="1" si="5"/>
        <v>8</v>
      </c>
      <c r="I63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7</v>
      </c>
      <c r="J63" s="2">
        <f ca="1">Таблица1[[#This Row],[Трудоемкость исходная]]-ROUNDUP(Таблица1[[#This Row],[Трудоемкость исходная]]/7,0)</f>
        <v>6</v>
      </c>
      <c r="K63" s="2">
        <f t="shared" ca="1" si="6"/>
        <v>3</v>
      </c>
      <c r="L63" s="2">
        <f>VLOOKUP(Таблица1[[#This Row],[Release]],Релизы!A:B,2,FALSE)</f>
        <v>2</v>
      </c>
      <c r="M63" s="2" t="s">
        <v>146</v>
      </c>
      <c r="N63" s="2">
        <v>8</v>
      </c>
      <c r="O63" s="2">
        <f t="shared" ca="1" si="7"/>
        <v>0</v>
      </c>
      <c r="P63" s="2">
        <v>11</v>
      </c>
      <c r="Q63" s="2">
        <f>Таблица1[[#This Row],[ID]]</f>
        <v>123</v>
      </c>
      <c r="R63" s="2">
        <v>12</v>
      </c>
      <c r="S63" s="2">
        <f t="shared" ca="1" si="8"/>
        <v>7</v>
      </c>
    </row>
    <row r="64" spans="1:19" x14ac:dyDescent="0.25">
      <c r="A64" s="2">
        <v>125</v>
      </c>
      <c r="B64" s="2" t="str">
        <f>"MR-"&amp;Таблица1[[#This Row],[ID]]</f>
        <v>MR-125</v>
      </c>
      <c r="C64" s="2">
        <v>5</v>
      </c>
      <c r="D64" s="3" t="s">
        <v>215</v>
      </c>
      <c r="E64" s="9">
        <f ca="1">Таблица1[[#Headers],[01.май]]+RANDBETWEEN(1,3)+E63-Таблица1[[#Headers],[01.май]]</f>
        <v>43704</v>
      </c>
      <c r="F64" s="9">
        <f ca="1">Таблица1[[#This Row],[01.май]]+RANDBETWEEN(1,10)</f>
        <v>43707</v>
      </c>
      <c r="G64" s="2">
        <v>3</v>
      </c>
      <c r="H64">
        <f t="shared" ca="1" si="5"/>
        <v>3</v>
      </c>
      <c r="I64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3</v>
      </c>
      <c r="J64" s="2">
        <f ca="1">Таблица1[[#This Row],[Трудоемкость исходная]]-ROUNDUP(Таблица1[[#This Row],[Трудоемкость исходная]]/6,0)</f>
        <v>2</v>
      </c>
      <c r="K64" s="2">
        <f t="shared" ca="1" si="6"/>
        <v>1</v>
      </c>
      <c r="L64" s="2">
        <f>VLOOKUP(Таблица1[[#This Row],[Release]],Релизы!A:B,2,FALSE)</f>
        <v>2</v>
      </c>
      <c r="M64" s="2" t="s">
        <v>146</v>
      </c>
      <c r="N64" s="2">
        <v>8</v>
      </c>
      <c r="O64" s="2">
        <f t="shared" ca="1" si="7"/>
        <v>0</v>
      </c>
      <c r="P64" s="2">
        <v>11</v>
      </c>
      <c r="Q64" s="2">
        <f>Таблица1[[#This Row],[ID]]</f>
        <v>125</v>
      </c>
      <c r="R64" s="2">
        <v>12</v>
      </c>
      <c r="S64" s="2">
        <f t="shared" ca="1" si="8"/>
        <v>10</v>
      </c>
    </row>
    <row r="65" spans="1:19" x14ac:dyDescent="0.25">
      <c r="A65" s="2">
        <v>127</v>
      </c>
      <c r="B65" s="2" t="str">
        <f>"MR-"&amp;Таблица1[[#This Row],[ID]]</f>
        <v>MR-127</v>
      </c>
      <c r="C65" s="2">
        <v>2</v>
      </c>
      <c r="D65" s="3" t="s">
        <v>216</v>
      </c>
      <c r="E65" s="9">
        <f ca="1">Таблица1[[#Headers],[01.май]]+RANDBETWEEN(1,3)+E64-Таблица1[[#Headers],[01.май]]</f>
        <v>43706</v>
      </c>
      <c r="F65" s="9">
        <f ca="1">Таблица1[[#This Row],[01.май]]+RANDBETWEEN(1,10)</f>
        <v>43707</v>
      </c>
      <c r="G65" s="2">
        <v>3</v>
      </c>
      <c r="H65">
        <f t="shared" ca="1" si="5"/>
        <v>6</v>
      </c>
      <c r="I65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5</v>
      </c>
      <c r="J65" s="2">
        <f ca="1">Таблица1[[#This Row],[Трудоемкость исходная]]-ROUNDUP(Таблица1[[#This Row],[Трудоемкость исходная]]/5,0)</f>
        <v>4</v>
      </c>
      <c r="K65" s="2">
        <f t="shared" ca="1" si="6"/>
        <v>2</v>
      </c>
      <c r="L65" s="2">
        <f>VLOOKUP(Таблица1[[#This Row],[Release]],Релизы!A:B,2,FALSE)</f>
        <v>2</v>
      </c>
      <c r="M65" s="2" t="s">
        <v>146</v>
      </c>
      <c r="N65" s="2">
        <v>8</v>
      </c>
      <c r="O65" s="2">
        <f t="shared" ca="1" si="7"/>
        <v>0</v>
      </c>
      <c r="P65" s="2">
        <v>11</v>
      </c>
      <c r="Q65" s="2">
        <f>Таблица1[[#This Row],[ID]]</f>
        <v>127</v>
      </c>
      <c r="R65" s="2">
        <v>12</v>
      </c>
      <c r="S65" s="2">
        <f t="shared" ca="1" si="8"/>
        <v>10</v>
      </c>
    </row>
    <row r="66" spans="1:19" x14ac:dyDescent="0.25">
      <c r="A66" s="2">
        <v>129</v>
      </c>
      <c r="B66" s="2" t="str">
        <f>"MR-"&amp;Таблица1[[#This Row],[ID]]</f>
        <v>MR-129</v>
      </c>
      <c r="C66" s="2">
        <v>1</v>
      </c>
      <c r="D66" s="3" t="s">
        <v>217</v>
      </c>
      <c r="E66" s="9">
        <f ca="1">Таблица1[[#Headers],[01.май]]+RANDBETWEEN(1,3)+E65-Таблица1[[#Headers],[01.май]]</f>
        <v>43709</v>
      </c>
      <c r="F66" s="9">
        <f ca="1">Таблица1[[#This Row],[01.май]]+RANDBETWEEN(1,10)</f>
        <v>43714</v>
      </c>
      <c r="G66" s="2">
        <v>3</v>
      </c>
      <c r="H66">
        <f t="shared" ref="H66:H100" ca="1" si="9">RANDBETWEEN(1,10)</f>
        <v>7</v>
      </c>
      <c r="I66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6</v>
      </c>
      <c r="J66" s="2">
        <f ca="1">Таблица1[[#This Row],[Трудоемкость исходная]]-ROUNDUP(Таблица1[[#This Row],[Трудоемкость исходная]]/4,0)</f>
        <v>5</v>
      </c>
      <c r="K66" s="2">
        <f t="shared" ref="K66:K100" ca="1" si="10">RANDBETWEEN(1,3)</f>
        <v>3</v>
      </c>
      <c r="L66" s="2">
        <f>VLOOKUP(Таблица1[[#This Row],[Release]],Релизы!A:B,2,FALSE)</f>
        <v>2</v>
      </c>
      <c r="M66" s="2" t="s">
        <v>146</v>
      </c>
      <c r="N66" s="2">
        <v>9</v>
      </c>
      <c r="O66" s="2">
        <f t="shared" ref="O66:O100" ca="1" si="11">IF(RANDBETWEEN(0,10)&gt;5,1,0)</f>
        <v>1</v>
      </c>
      <c r="P66" s="2">
        <v>11</v>
      </c>
      <c r="Q66" s="2">
        <f>Таблица1[[#This Row],[ID]]</f>
        <v>129</v>
      </c>
      <c r="R66" s="2">
        <v>12</v>
      </c>
      <c r="S66" s="2">
        <f t="shared" ca="1" si="8"/>
        <v>6</v>
      </c>
    </row>
    <row r="67" spans="1:19" x14ac:dyDescent="0.25">
      <c r="A67" s="2">
        <v>131</v>
      </c>
      <c r="B67" s="2" t="str">
        <f>"MR-"&amp;Таблица1[[#This Row],[ID]]</f>
        <v>MR-131</v>
      </c>
      <c r="C67" s="2">
        <v>1</v>
      </c>
      <c r="D67" s="3" t="s">
        <v>58</v>
      </c>
      <c r="E67" s="9">
        <f ca="1">Таблица1[[#Headers],[01.май]]+RANDBETWEEN(1,3)+E66-Таблица1[[#Headers],[01.май]]</f>
        <v>43710</v>
      </c>
      <c r="F67" s="9">
        <f ca="1">Таблица1[[#This Row],[01.май]]+RANDBETWEEN(1,10)</f>
        <v>43718</v>
      </c>
      <c r="G67" s="2">
        <v>3</v>
      </c>
      <c r="H67">
        <f t="shared" ca="1" si="9"/>
        <v>5</v>
      </c>
      <c r="I67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5</v>
      </c>
      <c r="J67" s="2">
        <f ca="1">Таблица1[[#This Row],[Трудоемкость исходная]]-ROUNDUP(Таблица1[[#This Row],[Трудоемкость исходная]]/3,0)</f>
        <v>3</v>
      </c>
      <c r="K67" s="2">
        <f t="shared" ca="1" si="10"/>
        <v>1</v>
      </c>
      <c r="L67" s="2">
        <f>VLOOKUP(Таблица1[[#This Row],[Release]],Релизы!A:B,2,FALSE)</f>
        <v>2</v>
      </c>
      <c r="M67" s="2" t="s">
        <v>146</v>
      </c>
      <c r="N67" s="2">
        <v>9</v>
      </c>
      <c r="O67" s="2">
        <f t="shared" ca="1" si="11"/>
        <v>1</v>
      </c>
      <c r="P67" s="2">
        <v>11</v>
      </c>
      <c r="Q67" s="2">
        <f>Таблица1[[#This Row],[ID]]</f>
        <v>131</v>
      </c>
      <c r="R67" s="2">
        <v>12</v>
      </c>
      <c r="S67" s="2">
        <f t="shared" ca="1" si="8"/>
        <v>10</v>
      </c>
    </row>
    <row r="68" spans="1:19" x14ac:dyDescent="0.25">
      <c r="A68" s="2">
        <v>133</v>
      </c>
      <c r="B68" s="2" t="str">
        <f>"MR-"&amp;Таблица1[[#This Row],[ID]]</f>
        <v>MR-133</v>
      </c>
      <c r="C68" s="2">
        <v>4</v>
      </c>
      <c r="D68" s="3" t="s">
        <v>59</v>
      </c>
      <c r="E68" s="9">
        <f ca="1">Таблица1[[#Headers],[01.май]]+RANDBETWEEN(1,3)+E67-Таблица1[[#Headers],[01.май]]</f>
        <v>43712</v>
      </c>
      <c r="F68" s="9">
        <f ca="1">Таблица1[[#This Row],[01.май]]+RANDBETWEEN(1,10)</f>
        <v>43719</v>
      </c>
      <c r="G68" s="2">
        <v>3</v>
      </c>
      <c r="H68">
        <f t="shared" ca="1" si="9"/>
        <v>1</v>
      </c>
      <c r="I68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1</v>
      </c>
      <c r="J68" s="2">
        <f ca="1">Таблица1[[#This Row],[Трудоемкость исходная]]-ROUNDUP(Таблица1[[#This Row],[Трудоемкость исходная]]/2,0)</f>
        <v>0</v>
      </c>
      <c r="K68" s="2">
        <f t="shared" ca="1" si="10"/>
        <v>3</v>
      </c>
      <c r="L68" s="2">
        <f>VLOOKUP(Таблица1[[#This Row],[Release]],Релизы!A:B,2,FALSE)</f>
        <v>2</v>
      </c>
      <c r="M68" s="2" t="s">
        <v>146</v>
      </c>
      <c r="N68" s="2">
        <v>9</v>
      </c>
      <c r="O68" s="2">
        <f t="shared" ca="1" si="11"/>
        <v>0</v>
      </c>
      <c r="P68" s="2">
        <v>11</v>
      </c>
      <c r="Q68" s="2">
        <f>Таблица1[[#This Row],[ID]]</f>
        <v>133</v>
      </c>
      <c r="R68" s="2">
        <v>12</v>
      </c>
      <c r="S68" s="2">
        <f t="shared" ca="1" si="8"/>
        <v>7</v>
      </c>
    </row>
    <row r="69" spans="1:19" x14ac:dyDescent="0.25">
      <c r="A69" s="2">
        <v>135</v>
      </c>
      <c r="B69" s="2" t="str">
        <f>"MR-"&amp;Таблица1[[#This Row],[ID]]</f>
        <v>MR-135</v>
      </c>
      <c r="C69" s="2">
        <v>2</v>
      </c>
      <c r="D69" s="3" t="s">
        <v>218</v>
      </c>
      <c r="E69" s="9">
        <f ca="1">Таблица1[[#Headers],[01.май]]+RANDBETWEEN(1,3)+E68-Таблица1[[#Headers],[01.май]]</f>
        <v>43714</v>
      </c>
      <c r="F69" s="9">
        <f ca="1">Таблица1[[#This Row],[01.май]]+RANDBETWEEN(1,10)</f>
        <v>43721</v>
      </c>
      <c r="G69" s="2">
        <v>2</v>
      </c>
      <c r="H69">
        <f t="shared" ca="1" si="9"/>
        <v>5</v>
      </c>
      <c r="I69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5</v>
      </c>
      <c r="J69" s="2">
        <f ca="1">Таблица1[[#This Row],[Трудоемкость исходная]]</f>
        <v>5</v>
      </c>
      <c r="K69" s="2">
        <f t="shared" ca="1" si="10"/>
        <v>2</v>
      </c>
      <c r="L69" s="2">
        <f>VLOOKUP(Таблица1[[#This Row],[Release]],Релизы!A:B,2,FALSE)</f>
        <v>2</v>
      </c>
      <c r="M69" s="2" t="s">
        <v>146</v>
      </c>
      <c r="N69" s="2">
        <v>9</v>
      </c>
      <c r="O69" s="2">
        <f t="shared" ca="1" si="11"/>
        <v>1</v>
      </c>
      <c r="P69" s="2">
        <v>11</v>
      </c>
      <c r="Q69" s="2">
        <f>Таблица1[[#This Row],[ID]]</f>
        <v>135</v>
      </c>
      <c r="R69" s="2">
        <v>12</v>
      </c>
      <c r="S69" s="2">
        <f t="shared" ca="1" si="8"/>
        <v>10</v>
      </c>
    </row>
    <row r="70" spans="1:19" x14ac:dyDescent="0.25">
      <c r="A70" s="2">
        <v>137</v>
      </c>
      <c r="B70" s="2" t="str">
        <f>"MR-"&amp;Таблица1[[#This Row],[ID]]</f>
        <v>MR-137</v>
      </c>
      <c r="C70" s="2">
        <v>5</v>
      </c>
      <c r="D70" s="3" t="s">
        <v>60</v>
      </c>
      <c r="E70" s="9">
        <f ca="1">Таблица1[[#Headers],[01.май]]+RANDBETWEEN(1,3)+E69-Таблица1[[#Headers],[01.май]]</f>
        <v>43716</v>
      </c>
      <c r="F70" s="9">
        <f ca="1">Таблица1[[#This Row],[01.май]]+RANDBETWEEN(1,10)</f>
        <v>43726</v>
      </c>
      <c r="G70" s="2">
        <v>2</v>
      </c>
      <c r="H70">
        <f t="shared" ca="1" si="9"/>
        <v>8</v>
      </c>
      <c r="I70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7</v>
      </c>
      <c r="J70" s="2">
        <f ca="1">Таблица1[[#This Row],[Трудоемкость исходная]]</f>
        <v>8</v>
      </c>
      <c r="K70" s="2">
        <f t="shared" ca="1" si="10"/>
        <v>1</v>
      </c>
      <c r="L70" s="2">
        <f>VLOOKUP(Таблица1[[#This Row],[Release]],Релизы!A:B,2,FALSE)</f>
        <v>2</v>
      </c>
      <c r="M70" s="2" t="s">
        <v>146</v>
      </c>
      <c r="N70" s="2">
        <v>9</v>
      </c>
      <c r="O70" s="2">
        <f t="shared" ca="1" si="11"/>
        <v>0</v>
      </c>
      <c r="P70" s="2">
        <v>11</v>
      </c>
      <c r="Q70" s="2">
        <f>Таблица1[[#This Row],[ID]]</f>
        <v>137</v>
      </c>
      <c r="R70" s="2">
        <v>12</v>
      </c>
      <c r="S70" s="2">
        <f t="shared" ca="1" si="8"/>
        <v>8</v>
      </c>
    </row>
    <row r="71" spans="1:19" x14ac:dyDescent="0.25">
      <c r="A71" s="2">
        <v>139</v>
      </c>
      <c r="B71" s="2" t="str">
        <f>"MR-"&amp;Таблица1[[#This Row],[ID]]</f>
        <v>MR-139</v>
      </c>
      <c r="C71" s="2">
        <v>3</v>
      </c>
      <c r="D71" s="3" t="s">
        <v>61</v>
      </c>
      <c r="E71" s="9">
        <f ca="1">Таблица1[[#Headers],[01.май]]+RANDBETWEEN(1,3)+E70-Таблица1[[#Headers],[01.май]]</f>
        <v>43719</v>
      </c>
      <c r="F71" s="9">
        <f ca="1">Таблица1[[#This Row],[01.май]]+RANDBETWEEN(1,10)</f>
        <v>43725</v>
      </c>
      <c r="G71" s="2">
        <v>2</v>
      </c>
      <c r="H71">
        <f t="shared" ca="1" si="9"/>
        <v>10</v>
      </c>
      <c r="I71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9</v>
      </c>
      <c r="J71" s="2">
        <f ca="1">Таблица1[[#This Row],[Трудоемкость исходная]]</f>
        <v>10</v>
      </c>
      <c r="K71" s="2">
        <f t="shared" ca="1" si="10"/>
        <v>1</v>
      </c>
      <c r="L71" s="2">
        <f>VLOOKUP(Таблица1[[#This Row],[Release]],Релизы!A:B,2,FALSE)</f>
        <v>2</v>
      </c>
      <c r="M71" s="2" t="s">
        <v>146</v>
      </c>
      <c r="N71" s="2">
        <v>9</v>
      </c>
      <c r="O71" s="2">
        <f t="shared" ca="1" si="11"/>
        <v>1</v>
      </c>
      <c r="P71" s="2">
        <v>11</v>
      </c>
      <c r="Q71" s="2">
        <f>Таблица1[[#This Row],[ID]]</f>
        <v>139</v>
      </c>
      <c r="R71" s="2">
        <v>12</v>
      </c>
      <c r="S71" s="2">
        <f t="shared" ca="1" si="8"/>
        <v>9</v>
      </c>
    </row>
    <row r="72" spans="1:19" x14ac:dyDescent="0.25">
      <c r="A72" s="2">
        <v>141</v>
      </c>
      <c r="B72" s="2" t="str">
        <f>"MR-"&amp;Таблица1[[#This Row],[ID]]</f>
        <v>MR-141</v>
      </c>
      <c r="C72" s="2">
        <v>2</v>
      </c>
      <c r="D72" s="3" t="s">
        <v>219</v>
      </c>
      <c r="E72" s="9">
        <f ca="1">Таблица1[[#Headers],[01.май]]+RANDBETWEEN(1,3)+E71-Таблица1[[#Headers],[01.май]]</f>
        <v>43722</v>
      </c>
      <c r="F72" s="9">
        <f ca="1">Таблица1[[#This Row],[01.май]]+RANDBETWEEN(1,10)</f>
        <v>43728</v>
      </c>
      <c r="G72" s="2">
        <v>2</v>
      </c>
      <c r="H72">
        <f t="shared" ca="1" si="9"/>
        <v>6</v>
      </c>
      <c r="I72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5</v>
      </c>
      <c r="J72" s="2">
        <f ca="1">Таблица1[[#This Row],[Трудоемкость исходная]]</f>
        <v>6</v>
      </c>
      <c r="K72" s="2">
        <f t="shared" ca="1" si="10"/>
        <v>2</v>
      </c>
      <c r="L72" s="2">
        <f>VLOOKUP(Таблица1[[#This Row],[Release]],Релизы!A:B,2,FALSE)</f>
        <v>2</v>
      </c>
      <c r="M72" s="2" t="s">
        <v>146</v>
      </c>
      <c r="N72" s="2">
        <v>9</v>
      </c>
      <c r="O72" s="2">
        <f t="shared" ca="1" si="11"/>
        <v>0</v>
      </c>
      <c r="P72" s="2">
        <v>13</v>
      </c>
      <c r="Q72" s="2">
        <f>Таблица1[[#This Row],[ID]]</f>
        <v>141</v>
      </c>
      <c r="R72" s="2">
        <v>12</v>
      </c>
      <c r="S72" s="2">
        <f t="shared" ca="1" si="8"/>
        <v>6</v>
      </c>
    </row>
    <row r="73" spans="1:19" x14ac:dyDescent="0.25">
      <c r="A73" s="2">
        <v>143</v>
      </c>
      <c r="B73" s="2" t="str">
        <f>"MR-"&amp;Таблица1[[#This Row],[ID]]</f>
        <v>MR-143</v>
      </c>
      <c r="C73" s="2">
        <v>1</v>
      </c>
      <c r="D73" s="3" t="s">
        <v>62</v>
      </c>
      <c r="E73" s="9">
        <f ca="1">Таблица1[[#Headers],[01.май]]+RANDBETWEEN(1,3)+E72-Таблица1[[#Headers],[01.май]]</f>
        <v>43724</v>
      </c>
      <c r="F73" s="9">
        <f ca="1">Таблица1[[#This Row],[01.май]]+RANDBETWEEN(1,10)</f>
        <v>43732</v>
      </c>
      <c r="G73" s="2">
        <v>2</v>
      </c>
      <c r="H73">
        <f t="shared" ca="1" si="9"/>
        <v>8</v>
      </c>
      <c r="I73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7</v>
      </c>
      <c r="J73" s="2">
        <f ca="1">Таблица1[[#This Row],[Трудоемкость исходная]]</f>
        <v>8</v>
      </c>
      <c r="K73" s="2">
        <f t="shared" ca="1" si="10"/>
        <v>2</v>
      </c>
      <c r="L73" s="2">
        <f>VLOOKUP(Таблица1[[#This Row],[Release]],Релизы!A:B,2,FALSE)</f>
        <v>2</v>
      </c>
      <c r="M73" s="2" t="s">
        <v>146</v>
      </c>
      <c r="N73" s="2">
        <v>9</v>
      </c>
      <c r="O73" s="2">
        <f t="shared" ca="1" si="11"/>
        <v>0</v>
      </c>
      <c r="P73" s="2">
        <v>13</v>
      </c>
      <c r="Q73" s="2">
        <f>Таблица1[[#This Row],[ID]]</f>
        <v>143</v>
      </c>
      <c r="R73" s="2">
        <v>12</v>
      </c>
      <c r="S73" s="2">
        <f t="shared" ca="1" si="8"/>
        <v>10</v>
      </c>
    </row>
    <row r="74" spans="1:19" x14ac:dyDescent="0.25">
      <c r="A74" s="2">
        <v>145</v>
      </c>
      <c r="B74" s="2" t="str">
        <f>"MR-"&amp;Таблица1[[#This Row],[ID]]</f>
        <v>MR-145</v>
      </c>
      <c r="C74" s="2">
        <v>5</v>
      </c>
      <c r="D74" s="3" t="s">
        <v>63</v>
      </c>
      <c r="E74" s="9">
        <f ca="1">Таблица1[[#Headers],[01.май]]+RANDBETWEEN(1,3)+E73-Таблица1[[#Headers],[01.май]]</f>
        <v>43726</v>
      </c>
      <c r="F74" s="9">
        <f ca="1">Таблица1[[#This Row],[01.май]]+RANDBETWEEN(1,10)</f>
        <v>43731</v>
      </c>
      <c r="G74" s="2">
        <v>2</v>
      </c>
      <c r="H74">
        <f t="shared" ca="1" si="9"/>
        <v>6</v>
      </c>
      <c r="I74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5</v>
      </c>
      <c r="J74" s="2">
        <f ca="1">Таблица1[[#This Row],[Трудоемкость исходная]]</f>
        <v>6</v>
      </c>
      <c r="K74" s="2">
        <f t="shared" ca="1" si="10"/>
        <v>2</v>
      </c>
      <c r="L74" s="2">
        <f>VLOOKUP(Таблица1[[#This Row],[Release]],Релизы!A:B,2,FALSE)</f>
        <v>2</v>
      </c>
      <c r="M74" s="2" t="s">
        <v>146</v>
      </c>
      <c r="N74" s="2">
        <v>9</v>
      </c>
      <c r="O74" s="2">
        <f t="shared" ca="1" si="11"/>
        <v>0</v>
      </c>
      <c r="P74" s="2">
        <v>13</v>
      </c>
      <c r="Q74" s="2">
        <f>Таблица1[[#This Row],[ID]]</f>
        <v>145</v>
      </c>
      <c r="R74" s="2">
        <v>12</v>
      </c>
      <c r="S74" s="2">
        <f t="shared" ca="1" si="8"/>
        <v>6</v>
      </c>
    </row>
    <row r="75" spans="1:19" x14ac:dyDescent="0.25">
      <c r="A75" s="2">
        <v>147</v>
      </c>
      <c r="B75" s="2" t="str">
        <f>"MR-"&amp;Таблица1[[#This Row],[ID]]</f>
        <v>MR-147</v>
      </c>
      <c r="C75" s="2">
        <v>1</v>
      </c>
      <c r="D75" s="3" t="s">
        <v>64</v>
      </c>
      <c r="E75" s="9">
        <f ca="1">Таблица1[[#Headers],[01.май]]+RANDBETWEEN(1,3)+E74-Таблица1[[#Headers],[01.май]]</f>
        <v>43727</v>
      </c>
      <c r="F75" s="9">
        <f ca="1">Таблица1[[#This Row],[01.май]]+RANDBETWEEN(1,10)</f>
        <v>43737</v>
      </c>
      <c r="G75" s="2">
        <v>2</v>
      </c>
      <c r="H75">
        <f t="shared" ca="1" si="9"/>
        <v>2</v>
      </c>
      <c r="I75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2</v>
      </c>
      <c r="J75" s="2">
        <f ca="1">Таблица1[[#This Row],[Трудоемкость исходная]]</f>
        <v>2</v>
      </c>
      <c r="K75" s="2">
        <f t="shared" ca="1" si="10"/>
        <v>3</v>
      </c>
      <c r="L75" s="2">
        <f>VLOOKUP(Таблица1[[#This Row],[Release]],Релизы!A:B,2,FALSE)</f>
        <v>2</v>
      </c>
      <c r="M75" s="2" t="s">
        <v>146</v>
      </c>
      <c r="N75" s="2">
        <v>9</v>
      </c>
      <c r="O75" s="2">
        <f t="shared" ca="1" si="11"/>
        <v>0</v>
      </c>
      <c r="P75" s="2">
        <v>13</v>
      </c>
      <c r="Q75" s="2">
        <f>Таблица1[[#This Row],[ID]]</f>
        <v>147</v>
      </c>
      <c r="R75" s="2">
        <v>12</v>
      </c>
      <c r="S75" s="2">
        <f t="shared" ca="1" si="8"/>
        <v>8</v>
      </c>
    </row>
    <row r="76" spans="1:19" x14ac:dyDescent="0.25">
      <c r="A76" s="2">
        <v>149</v>
      </c>
      <c r="B76" s="2" t="str">
        <f>"MR-"&amp;Таблица1[[#This Row],[ID]]</f>
        <v>MR-149</v>
      </c>
      <c r="C76" s="2">
        <v>5</v>
      </c>
      <c r="D76" s="3" t="s">
        <v>65</v>
      </c>
      <c r="E76" s="9">
        <f ca="1">Таблица1[[#Headers],[01.май]]+RANDBETWEEN(1,3)+E75-Таблица1[[#Headers],[01.май]]</f>
        <v>43728</v>
      </c>
      <c r="F76" s="9">
        <f ca="1">Таблица1[[#This Row],[01.май]]+RANDBETWEEN(1,10)</f>
        <v>43738</v>
      </c>
      <c r="G76" s="2">
        <v>2</v>
      </c>
      <c r="H76">
        <f t="shared" ca="1" si="9"/>
        <v>5</v>
      </c>
      <c r="I76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5</v>
      </c>
      <c r="J76" s="2">
        <f ca="1">Таблица1[[#This Row],[Трудоемкость исходная]]</f>
        <v>5</v>
      </c>
      <c r="K76" s="2">
        <f t="shared" ca="1" si="10"/>
        <v>3</v>
      </c>
      <c r="L76" s="2">
        <f>VLOOKUP(Таблица1[[#This Row],[Release]],Релизы!A:B,2,FALSE)</f>
        <v>2</v>
      </c>
      <c r="M76" s="2" t="s">
        <v>146</v>
      </c>
      <c r="N76" s="2">
        <v>9</v>
      </c>
      <c r="O76" s="2">
        <f t="shared" ca="1" si="11"/>
        <v>0</v>
      </c>
      <c r="P76" s="2">
        <v>13</v>
      </c>
      <c r="Q76" s="2">
        <f>Таблица1[[#This Row],[ID]]</f>
        <v>149</v>
      </c>
      <c r="R76" s="2">
        <v>12</v>
      </c>
      <c r="S76" s="2">
        <f t="shared" ca="1" si="8"/>
        <v>7</v>
      </c>
    </row>
    <row r="77" spans="1:19" x14ac:dyDescent="0.25">
      <c r="A77" s="2">
        <v>151</v>
      </c>
      <c r="B77" s="2" t="str">
        <f>"MR-"&amp;Таблица1[[#This Row],[ID]]</f>
        <v>MR-151</v>
      </c>
      <c r="C77" s="2">
        <v>4</v>
      </c>
      <c r="D77" s="3" t="s">
        <v>66</v>
      </c>
      <c r="E77" s="9">
        <f ca="1">Таблица1[[#Headers],[01.май]]+RANDBETWEEN(1,3)+E76-Таблица1[[#Headers],[01.май]]</f>
        <v>43730</v>
      </c>
      <c r="F77" s="9">
        <f ca="1">Таблица1[[#This Row],[01.май]]+RANDBETWEEN(1,10)</f>
        <v>43732</v>
      </c>
      <c r="G77" s="2">
        <v>2</v>
      </c>
      <c r="H77">
        <f t="shared" ca="1" si="9"/>
        <v>7</v>
      </c>
      <c r="I77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6</v>
      </c>
      <c r="J77" s="2">
        <f ca="1">Таблица1[[#This Row],[Трудоемкость исходная]]</f>
        <v>7</v>
      </c>
      <c r="K77" s="2">
        <f t="shared" ca="1" si="10"/>
        <v>1</v>
      </c>
      <c r="L77" s="2">
        <f>VLOOKUP(Таблица1[[#This Row],[Release]],Релизы!A:B,2,FALSE)</f>
        <v>4</v>
      </c>
      <c r="M77" s="2" t="s">
        <v>146</v>
      </c>
      <c r="N77" s="2">
        <v>9</v>
      </c>
      <c r="O77" s="2">
        <f t="shared" ca="1" si="11"/>
        <v>0</v>
      </c>
      <c r="P77" s="2">
        <v>13</v>
      </c>
      <c r="Q77" s="2">
        <f>Таблица1[[#This Row],[ID]]</f>
        <v>151</v>
      </c>
      <c r="R77" s="2">
        <v>13</v>
      </c>
      <c r="S77" s="2">
        <f t="shared" ca="1" si="8"/>
        <v>10</v>
      </c>
    </row>
    <row r="78" spans="1:19" x14ac:dyDescent="0.25">
      <c r="A78" s="2">
        <v>153</v>
      </c>
      <c r="B78" s="2" t="str">
        <f>"MR-"&amp;Таблица1[[#This Row],[ID]]</f>
        <v>MR-153</v>
      </c>
      <c r="C78" s="2">
        <v>5</v>
      </c>
      <c r="D78" s="3" t="s">
        <v>67</v>
      </c>
      <c r="E78" s="9">
        <f ca="1">Таблица1[[#Headers],[01.май]]+RANDBETWEEN(1,3)+E77-Таблица1[[#Headers],[01.май]]</f>
        <v>43731</v>
      </c>
      <c r="F78" s="9">
        <f ca="1">Таблица1[[#This Row],[01.май]]+RANDBETWEEN(1,10)</f>
        <v>43735</v>
      </c>
      <c r="G78" s="2">
        <v>2</v>
      </c>
      <c r="H78">
        <f t="shared" ca="1" si="9"/>
        <v>2</v>
      </c>
      <c r="I78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2</v>
      </c>
      <c r="J78" s="2">
        <f ca="1">Таблица1[[#This Row],[Трудоемкость исходная]]</f>
        <v>2</v>
      </c>
      <c r="K78" s="2">
        <f t="shared" ca="1" si="10"/>
        <v>1</v>
      </c>
      <c r="L78" s="2">
        <f>VLOOKUP(Таблица1[[#This Row],[Release]],Релизы!A:B,2,FALSE)</f>
        <v>4</v>
      </c>
      <c r="M78" s="2" t="s">
        <v>146</v>
      </c>
      <c r="N78" s="2">
        <v>9</v>
      </c>
      <c r="O78" s="2">
        <f t="shared" ca="1" si="11"/>
        <v>1</v>
      </c>
      <c r="P78" s="2">
        <v>13</v>
      </c>
      <c r="Q78" s="2">
        <f>Таблица1[[#This Row],[ID]]</f>
        <v>153</v>
      </c>
      <c r="R78" s="2">
        <v>13</v>
      </c>
      <c r="S78" s="2">
        <f t="shared" ca="1" si="8"/>
        <v>6</v>
      </c>
    </row>
    <row r="79" spans="1:19" x14ac:dyDescent="0.25">
      <c r="A79" s="2">
        <v>155</v>
      </c>
      <c r="B79" s="2" t="str">
        <f>"MR-"&amp;Таблица1[[#This Row],[ID]]</f>
        <v>MR-155</v>
      </c>
      <c r="C79" s="2">
        <v>4</v>
      </c>
      <c r="D79" s="3" t="s">
        <v>68</v>
      </c>
      <c r="E79" s="9">
        <f ca="1">Таблица1[[#Headers],[01.май]]+RANDBETWEEN(1,3)+E78-Таблица1[[#Headers],[01.май]]</f>
        <v>43734</v>
      </c>
      <c r="F79" s="9">
        <f ca="1">Таблица1[[#This Row],[01.май]]+RANDBETWEEN(1,10)</f>
        <v>43740</v>
      </c>
      <c r="G79" s="2">
        <v>2</v>
      </c>
      <c r="H79">
        <f t="shared" ca="1" si="9"/>
        <v>3</v>
      </c>
      <c r="I79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3</v>
      </c>
      <c r="J79" s="2">
        <f ca="1">Таблица1[[#This Row],[Трудоемкость исходная]]</f>
        <v>3</v>
      </c>
      <c r="K79" s="2">
        <f t="shared" ca="1" si="10"/>
        <v>1</v>
      </c>
      <c r="L79" s="2">
        <f>VLOOKUP(Таблица1[[#This Row],[Release]],Релизы!A:B,2,FALSE)</f>
        <v>4</v>
      </c>
      <c r="M79" s="2" t="s">
        <v>146</v>
      </c>
      <c r="N79" s="2">
        <v>9</v>
      </c>
      <c r="O79" s="2">
        <f t="shared" ca="1" si="11"/>
        <v>0</v>
      </c>
      <c r="P79" s="2">
        <v>13</v>
      </c>
      <c r="Q79" s="2">
        <f>Таблица1[[#This Row],[ID]]</f>
        <v>155</v>
      </c>
      <c r="R79" s="2">
        <v>13</v>
      </c>
      <c r="S79" s="2">
        <f t="shared" ca="1" si="8"/>
        <v>10</v>
      </c>
    </row>
    <row r="80" spans="1:19" x14ac:dyDescent="0.25">
      <c r="A80" s="2">
        <v>157</v>
      </c>
      <c r="B80" s="2" t="str">
        <f>"MR-"&amp;Таблица1[[#This Row],[ID]]</f>
        <v>MR-157</v>
      </c>
      <c r="C80" s="2">
        <v>1</v>
      </c>
      <c r="D80" s="3" t="s">
        <v>69</v>
      </c>
      <c r="E80" s="9">
        <f ca="1">Таблица1[[#Headers],[01.май]]+RANDBETWEEN(1,3)+E79-Таблица1[[#Headers],[01.май]]</f>
        <v>43735</v>
      </c>
      <c r="F80" s="9">
        <f ca="1">Таблица1[[#This Row],[01.май]]+RANDBETWEEN(1,10)</f>
        <v>43744</v>
      </c>
      <c r="G80" s="2">
        <v>2</v>
      </c>
      <c r="H80">
        <f t="shared" ca="1" si="9"/>
        <v>3</v>
      </c>
      <c r="I80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3</v>
      </c>
      <c r="J80" s="2">
        <f ca="1">Таблица1[[#This Row],[Трудоемкость исходная]]</f>
        <v>3</v>
      </c>
      <c r="K80" s="2">
        <f t="shared" ca="1" si="10"/>
        <v>2</v>
      </c>
      <c r="L80" s="2">
        <f>VLOOKUP(Таблица1[[#This Row],[Release]],Релизы!A:B,2,FALSE)</f>
        <v>4</v>
      </c>
      <c r="M80" s="2" t="s">
        <v>146</v>
      </c>
      <c r="N80" s="2">
        <v>9</v>
      </c>
      <c r="O80" s="2">
        <f t="shared" ca="1" si="11"/>
        <v>0</v>
      </c>
      <c r="P80" s="2">
        <v>13</v>
      </c>
      <c r="Q80" s="2">
        <f>Таблица1[[#This Row],[ID]]</f>
        <v>157</v>
      </c>
      <c r="R80" s="2">
        <v>13</v>
      </c>
      <c r="S80" s="2">
        <f t="shared" ca="1" si="8"/>
        <v>8</v>
      </c>
    </row>
    <row r="81" spans="1:19" x14ac:dyDescent="0.25">
      <c r="A81" s="2">
        <v>159</v>
      </c>
      <c r="B81" s="2" t="str">
        <f>"MR-"&amp;Таблица1[[#This Row],[ID]]</f>
        <v>MR-159</v>
      </c>
      <c r="C81" s="2">
        <v>2</v>
      </c>
      <c r="D81" s="3" t="s">
        <v>220</v>
      </c>
      <c r="E81" s="9">
        <f ca="1">Таблица1[[#Headers],[01.май]]+RANDBETWEEN(1,3)+E80-Таблица1[[#Headers],[01.май]]</f>
        <v>43737</v>
      </c>
      <c r="F81" s="9">
        <f ca="1">Таблица1[[#This Row],[01.май]]+RANDBETWEEN(1,10)</f>
        <v>43746</v>
      </c>
      <c r="G81" s="2">
        <v>2</v>
      </c>
      <c r="H81">
        <f t="shared" ca="1" si="9"/>
        <v>2</v>
      </c>
      <c r="I81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2</v>
      </c>
      <c r="J81" s="2">
        <f ca="1">Таблица1[[#This Row],[Трудоемкость исходная]]</f>
        <v>2</v>
      </c>
      <c r="K81" s="2">
        <f t="shared" ca="1" si="10"/>
        <v>2</v>
      </c>
      <c r="L81" s="2">
        <f>VLOOKUP(Таблица1[[#This Row],[Release]],Релизы!A:B,2,FALSE)</f>
        <v>4</v>
      </c>
      <c r="M81" s="2" t="s">
        <v>146</v>
      </c>
      <c r="N81" s="2">
        <v>9</v>
      </c>
      <c r="O81" s="2">
        <f t="shared" ca="1" si="11"/>
        <v>1</v>
      </c>
      <c r="P81" s="2">
        <v>13</v>
      </c>
      <c r="Q81" s="2">
        <f>Таблица1[[#This Row],[ID]]</f>
        <v>159</v>
      </c>
      <c r="R81" s="2">
        <v>13</v>
      </c>
      <c r="S81" s="2">
        <f t="shared" ca="1" si="8"/>
        <v>8</v>
      </c>
    </row>
    <row r="82" spans="1:19" x14ac:dyDescent="0.25">
      <c r="A82" s="2">
        <v>161</v>
      </c>
      <c r="B82" s="2" t="str">
        <f>"MR-"&amp;Таблица1[[#This Row],[ID]]</f>
        <v>MR-161</v>
      </c>
      <c r="C82" s="2">
        <v>1</v>
      </c>
      <c r="D82" s="3" t="s">
        <v>221</v>
      </c>
      <c r="E82" s="9">
        <f ca="1">Таблица1[[#Headers],[01.май]]+RANDBETWEEN(1,3)+E81-Таблица1[[#Headers],[01.май]]</f>
        <v>43738</v>
      </c>
      <c r="F82" s="9">
        <f ca="1">Таблица1[[#This Row],[01.май]]+RANDBETWEEN(1,10)</f>
        <v>43744</v>
      </c>
      <c r="G82" s="2">
        <v>2</v>
      </c>
      <c r="H82">
        <f t="shared" ca="1" si="9"/>
        <v>5</v>
      </c>
      <c r="I82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5</v>
      </c>
      <c r="J82" s="2">
        <f ca="1">Таблица1[[#This Row],[Трудоемкость исходная]]</f>
        <v>5</v>
      </c>
      <c r="K82" s="2">
        <f t="shared" ca="1" si="10"/>
        <v>1</v>
      </c>
      <c r="L82" s="2">
        <f>VLOOKUP(Таблица1[[#This Row],[Release]],Релизы!A:B,2,FALSE)</f>
        <v>4</v>
      </c>
      <c r="M82" s="2" t="s">
        <v>146</v>
      </c>
      <c r="N82" s="2">
        <v>9</v>
      </c>
      <c r="O82" s="2">
        <f t="shared" ca="1" si="11"/>
        <v>0</v>
      </c>
      <c r="P82" s="2">
        <v>13</v>
      </c>
      <c r="Q82" s="2">
        <f>Таблица1[[#This Row],[ID]]</f>
        <v>161</v>
      </c>
      <c r="R82" s="2">
        <v>13</v>
      </c>
      <c r="S82" s="2">
        <f t="shared" ca="1" si="8"/>
        <v>10</v>
      </c>
    </row>
    <row r="83" spans="1:19" x14ac:dyDescent="0.25">
      <c r="A83" s="2">
        <v>163</v>
      </c>
      <c r="B83" s="2" t="str">
        <f>"MR-"&amp;Таблица1[[#This Row],[ID]]</f>
        <v>MR-163</v>
      </c>
      <c r="C83" s="2">
        <v>3</v>
      </c>
      <c r="D83" s="3" t="s">
        <v>70</v>
      </c>
      <c r="E83" s="9">
        <f ca="1">Таблица1[[#Headers],[01.май]]+RANDBETWEEN(1,3)+E82-Таблица1[[#Headers],[01.май]]</f>
        <v>43741</v>
      </c>
      <c r="F83" s="9">
        <f ca="1">Таблица1[[#This Row],[01.май]]+RANDBETWEEN(1,10)</f>
        <v>43751</v>
      </c>
      <c r="G83" s="2">
        <v>2</v>
      </c>
      <c r="H83">
        <f t="shared" ca="1" si="9"/>
        <v>7</v>
      </c>
      <c r="I83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6</v>
      </c>
      <c r="J83" s="2">
        <f ca="1">Таблица1[[#This Row],[Трудоемкость исходная]]</f>
        <v>7</v>
      </c>
      <c r="K83" s="2">
        <f t="shared" ca="1" si="10"/>
        <v>2</v>
      </c>
      <c r="L83" s="2">
        <f>VLOOKUP(Таблица1[[#This Row],[Release]],Релизы!A:B,2,FALSE)</f>
        <v>4</v>
      </c>
      <c r="M83" s="2" t="s">
        <v>146</v>
      </c>
      <c r="N83" s="2">
        <v>9</v>
      </c>
      <c r="O83" s="2">
        <f t="shared" ca="1" si="11"/>
        <v>0</v>
      </c>
      <c r="P83" s="2">
        <v>13</v>
      </c>
      <c r="Q83" s="2">
        <f>Таблица1[[#This Row],[ID]]</f>
        <v>163</v>
      </c>
      <c r="R83" s="2">
        <v>13</v>
      </c>
      <c r="S83" s="2">
        <f t="shared" ca="1" si="8"/>
        <v>9</v>
      </c>
    </row>
    <row r="84" spans="1:19" x14ac:dyDescent="0.25">
      <c r="A84" s="2">
        <v>165</v>
      </c>
      <c r="B84" s="2" t="str">
        <f>"MR-"&amp;Таблица1[[#This Row],[ID]]</f>
        <v>MR-165</v>
      </c>
      <c r="C84" s="2">
        <v>2</v>
      </c>
      <c r="D84" s="3" t="s">
        <v>222</v>
      </c>
      <c r="E84" s="9">
        <f ca="1">Таблица1[[#Headers],[01.май]]+RANDBETWEEN(1,3)+E83-Таблица1[[#Headers],[01.май]]</f>
        <v>43743</v>
      </c>
      <c r="F84" s="9">
        <f ca="1">Таблица1[[#This Row],[01.май]]+RANDBETWEEN(1,10)</f>
        <v>43749</v>
      </c>
      <c r="G84" s="2">
        <v>2</v>
      </c>
      <c r="H84">
        <f t="shared" ca="1" si="9"/>
        <v>2</v>
      </c>
      <c r="I84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2</v>
      </c>
      <c r="J84" s="2">
        <f ca="1">Таблица1[[#This Row],[Трудоемкость исходная]]</f>
        <v>2</v>
      </c>
      <c r="K84" s="2">
        <f t="shared" ca="1" si="10"/>
        <v>2</v>
      </c>
      <c r="L84" s="2">
        <f>VLOOKUP(Таблица1[[#This Row],[Release]],Релизы!A:B,2,FALSE)</f>
        <v>3</v>
      </c>
      <c r="M84" s="2" t="s">
        <v>146</v>
      </c>
      <c r="N84" s="2">
        <v>10</v>
      </c>
      <c r="O84" s="2">
        <f t="shared" ca="1" si="11"/>
        <v>0</v>
      </c>
      <c r="P84" s="2">
        <v>15</v>
      </c>
      <c r="Q84" s="2">
        <f>Таблица1[[#This Row],[ID]]</f>
        <v>165</v>
      </c>
      <c r="R84" s="2">
        <v>14</v>
      </c>
      <c r="S84" s="2">
        <f t="shared" ref="S84:S100" ca="1" si="12">RANDBETWEEN(8,12)</f>
        <v>11</v>
      </c>
    </row>
    <row r="85" spans="1:19" x14ac:dyDescent="0.25">
      <c r="A85" s="2">
        <v>167</v>
      </c>
      <c r="B85" s="2" t="str">
        <f>"MR-"&amp;Таблица1[[#This Row],[ID]]</f>
        <v>MR-167</v>
      </c>
      <c r="C85" s="2">
        <v>5</v>
      </c>
      <c r="D85" s="3" t="s">
        <v>71</v>
      </c>
      <c r="E85" s="9">
        <f ca="1">Таблица1[[#Headers],[01.май]]+RANDBETWEEN(1,3)+E84-Таблица1[[#Headers],[01.май]]</f>
        <v>43745</v>
      </c>
      <c r="F85" s="9">
        <f ca="1">Таблица1[[#This Row],[01.май]]+RANDBETWEEN(1,10)</f>
        <v>43749</v>
      </c>
      <c r="G85" s="2">
        <v>2</v>
      </c>
      <c r="H85">
        <f t="shared" ca="1" si="9"/>
        <v>7</v>
      </c>
      <c r="I85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6</v>
      </c>
      <c r="J85" s="2">
        <f ca="1">Таблица1[[#This Row],[Трудоемкость исходная]]</f>
        <v>7</v>
      </c>
      <c r="K85" s="2">
        <f t="shared" ca="1" si="10"/>
        <v>1</v>
      </c>
      <c r="L85" s="2">
        <f>VLOOKUP(Таблица1[[#This Row],[Release]],Релизы!A:B,2,FALSE)</f>
        <v>3</v>
      </c>
      <c r="M85" s="2" t="s">
        <v>146</v>
      </c>
      <c r="N85" s="2">
        <v>10</v>
      </c>
      <c r="O85" s="2">
        <f t="shared" ca="1" si="11"/>
        <v>0</v>
      </c>
      <c r="P85" s="2">
        <v>15</v>
      </c>
      <c r="Q85" s="2">
        <f>Таблица1[[#This Row],[ID]]</f>
        <v>167</v>
      </c>
      <c r="R85" s="2">
        <v>14</v>
      </c>
      <c r="S85" s="2">
        <f t="shared" ca="1" si="12"/>
        <v>11</v>
      </c>
    </row>
    <row r="86" spans="1:19" x14ac:dyDescent="0.25">
      <c r="A86" s="2">
        <v>169</v>
      </c>
      <c r="B86" s="2" t="str">
        <f>"MR-"&amp;Таблица1[[#This Row],[ID]]</f>
        <v>MR-169</v>
      </c>
      <c r="C86" s="2">
        <v>3</v>
      </c>
      <c r="D86" s="3" t="s">
        <v>72</v>
      </c>
      <c r="E86" s="9">
        <f ca="1">Таблица1[[#Headers],[01.май]]+RANDBETWEEN(1,3)+E85-Таблица1[[#Headers],[01.май]]</f>
        <v>43748</v>
      </c>
      <c r="F86" s="9">
        <f ca="1">Таблица1[[#This Row],[01.май]]+RANDBETWEEN(1,10)</f>
        <v>43755</v>
      </c>
      <c r="G86" s="2">
        <v>2</v>
      </c>
      <c r="H86">
        <f t="shared" ca="1" si="9"/>
        <v>10</v>
      </c>
      <c r="I86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9</v>
      </c>
      <c r="J86" s="2">
        <f ca="1">Таблица1[[#This Row],[Трудоемкость исходная]]</f>
        <v>10</v>
      </c>
      <c r="K86" s="2">
        <f t="shared" ca="1" si="10"/>
        <v>2</v>
      </c>
      <c r="L86" s="2">
        <f>VLOOKUP(Таблица1[[#This Row],[Release]],Релизы!A:B,2,FALSE)</f>
        <v>3</v>
      </c>
      <c r="M86" s="2" t="s">
        <v>146</v>
      </c>
      <c r="N86" s="2">
        <v>10</v>
      </c>
      <c r="O86" s="2">
        <f t="shared" ca="1" si="11"/>
        <v>1</v>
      </c>
      <c r="P86" s="2">
        <v>15</v>
      </c>
      <c r="Q86" s="2">
        <f>Таблица1[[#This Row],[ID]]</f>
        <v>169</v>
      </c>
      <c r="R86" s="2">
        <v>14</v>
      </c>
      <c r="S86" s="2">
        <f t="shared" ca="1" si="12"/>
        <v>10</v>
      </c>
    </row>
    <row r="87" spans="1:19" x14ac:dyDescent="0.25">
      <c r="A87" s="2">
        <v>171</v>
      </c>
      <c r="B87" s="2" t="str">
        <f>"MR-"&amp;Таблица1[[#This Row],[ID]]</f>
        <v>MR-171</v>
      </c>
      <c r="C87" s="2">
        <v>5</v>
      </c>
      <c r="D87" s="3" t="s">
        <v>73</v>
      </c>
      <c r="E87" s="9">
        <f ca="1">Таблица1[[#Headers],[01.май]]+RANDBETWEEN(1,3)+E86-Таблица1[[#Headers],[01.май]]</f>
        <v>43751</v>
      </c>
      <c r="F87" s="9">
        <f ca="1">Таблица1[[#This Row],[01.май]]+RANDBETWEEN(1,10)</f>
        <v>43757</v>
      </c>
      <c r="G87" s="2">
        <v>2</v>
      </c>
      <c r="H87">
        <f t="shared" ca="1" si="9"/>
        <v>10</v>
      </c>
      <c r="I87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9</v>
      </c>
      <c r="J87" s="2">
        <f ca="1">Таблица1[[#This Row],[Трудоемкость исходная]]</f>
        <v>10</v>
      </c>
      <c r="K87" s="2">
        <f t="shared" ca="1" si="10"/>
        <v>1</v>
      </c>
      <c r="L87" s="2">
        <f>VLOOKUP(Таблица1[[#This Row],[Release]],Релизы!A:B,2,FALSE)</f>
        <v>3</v>
      </c>
      <c r="M87" s="2" t="s">
        <v>146</v>
      </c>
      <c r="N87" s="2">
        <v>10</v>
      </c>
      <c r="O87" s="2">
        <f t="shared" ca="1" si="11"/>
        <v>0</v>
      </c>
      <c r="P87" s="2">
        <v>15</v>
      </c>
      <c r="Q87" s="2">
        <f>Таблица1[[#This Row],[ID]]</f>
        <v>171</v>
      </c>
      <c r="R87" s="2">
        <v>14</v>
      </c>
      <c r="S87" s="2">
        <f t="shared" ca="1" si="12"/>
        <v>8</v>
      </c>
    </row>
    <row r="88" spans="1:19" x14ac:dyDescent="0.25">
      <c r="A88" s="2">
        <v>173</v>
      </c>
      <c r="B88" s="2" t="str">
        <f>"MR-"&amp;Таблица1[[#This Row],[ID]]</f>
        <v>MR-173</v>
      </c>
      <c r="C88" s="2">
        <v>5</v>
      </c>
      <c r="D88" s="3" t="s">
        <v>74</v>
      </c>
      <c r="E88" s="9">
        <f ca="1">Таблица1[[#Headers],[01.май]]+RANDBETWEEN(1,3)+E87-Таблица1[[#Headers],[01.май]]</f>
        <v>43753</v>
      </c>
      <c r="F88" s="9">
        <f ca="1">Таблица1[[#This Row],[01.май]]+RANDBETWEEN(1,10)</f>
        <v>43756</v>
      </c>
      <c r="G88" s="2">
        <v>2</v>
      </c>
      <c r="H88">
        <f t="shared" ca="1" si="9"/>
        <v>1</v>
      </c>
      <c r="I88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1</v>
      </c>
      <c r="J88" s="2">
        <f ca="1">Таблица1[[#This Row],[Трудоемкость исходная]]</f>
        <v>1</v>
      </c>
      <c r="K88" s="2">
        <f t="shared" ca="1" si="10"/>
        <v>2</v>
      </c>
      <c r="L88" s="2">
        <f>VLOOKUP(Таблица1[[#This Row],[Release]],Релизы!A:B,2,FALSE)</f>
        <v>3</v>
      </c>
      <c r="M88" s="2" t="s">
        <v>146</v>
      </c>
      <c r="N88" s="2">
        <v>10</v>
      </c>
      <c r="O88" s="2">
        <f t="shared" ca="1" si="11"/>
        <v>0</v>
      </c>
      <c r="P88" s="2">
        <v>15</v>
      </c>
      <c r="Q88" s="2">
        <f>Таблица1[[#This Row],[ID]]</f>
        <v>173</v>
      </c>
      <c r="R88" s="2">
        <v>14</v>
      </c>
      <c r="S88" s="2">
        <f t="shared" ca="1" si="12"/>
        <v>10</v>
      </c>
    </row>
    <row r="89" spans="1:19" x14ac:dyDescent="0.25">
      <c r="A89" s="2">
        <v>175</v>
      </c>
      <c r="B89" s="2" t="str">
        <f>"MR-"&amp;Таблица1[[#This Row],[ID]]</f>
        <v>MR-175</v>
      </c>
      <c r="C89" s="2">
        <v>2</v>
      </c>
      <c r="D89" s="3" t="s">
        <v>75</v>
      </c>
      <c r="E89" s="9">
        <f ca="1">Таблица1[[#Headers],[01.май]]+RANDBETWEEN(1,3)+E88-Таблица1[[#Headers],[01.май]]</f>
        <v>43754</v>
      </c>
      <c r="F89" s="9">
        <f ca="1">Таблица1[[#This Row],[01.май]]+RANDBETWEEN(1,10)</f>
        <v>43764</v>
      </c>
      <c r="G89" s="2">
        <v>2</v>
      </c>
      <c r="H89">
        <f t="shared" ca="1" si="9"/>
        <v>9</v>
      </c>
      <c r="I89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8</v>
      </c>
      <c r="J89" s="2">
        <f ca="1">Таблица1[[#This Row],[Трудоемкость исходная]]</f>
        <v>9</v>
      </c>
      <c r="K89" s="2">
        <f t="shared" ca="1" si="10"/>
        <v>3</v>
      </c>
      <c r="L89" s="2">
        <f>VLOOKUP(Таблица1[[#This Row],[Release]],Релизы!A:B,2,FALSE)</f>
        <v>3</v>
      </c>
      <c r="M89" s="2" t="s">
        <v>146</v>
      </c>
      <c r="N89" s="2">
        <v>10</v>
      </c>
      <c r="O89" s="2">
        <f t="shared" ca="1" si="11"/>
        <v>0</v>
      </c>
      <c r="P89" s="2">
        <v>15</v>
      </c>
      <c r="Q89" s="2">
        <f>Таблица1[[#This Row],[ID]]</f>
        <v>175</v>
      </c>
      <c r="R89" s="2">
        <v>14</v>
      </c>
      <c r="S89" s="2">
        <f t="shared" ca="1" si="12"/>
        <v>11</v>
      </c>
    </row>
    <row r="90" spans="1:19" x14ac:dyDescent="0.25">
      <c r="A90" s="2">
        <v>177</v>
      </c>
      <c r="B90" s="2" t="str">
        <f>"MR-"&amp;Таблица1[[#This Row],[ID]]</f>
        <v>MR-177</v>
      </c>
      <c r="C90" s="2">
        <v>3</v>
      </c>
      <c r="D90" s="3" t="s">
        <v>76</v>
      </c>
      <c r="E90" s="9">
        <f ca="1">Таблица1[[#Headers],[01.май]]+RANDBETWEEN(1,3)+E89-Таблица1[[#Headers],[01.май]]</f>
        <v>43756</v>
      </c>
      <c r="F90" s="9">
        <f ca="1">Таблица1[[#This Row],[01.май]]+RANDBETWEEN(1,10)</f>
        <v>43760</v>
      </c>
      <c r="G90" s="2">
        <v>2</v>
      </c>
      <c r="H90">
        <f t="shared" ca="1" si="9"/>
        <v>2</v>
      </c>
      <c r="I90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2</v>
      </c>
      <c r="J90" s="2">
        <f ca="1">Таблица1[[#This Row],[Трудоемкость исходная]]</f>
        <v>2</v>
      </c>
      <c r="K90" s="2">
        <f t="shared" ca="1" si="10"/>
        <v>1</v>
      </c>
      <c r="L90" s="2">
        <f>VLOOKUP(Таблица1[[#This Row],[Release]],Релизы!A:B,2,FALSE)</f>
        <v>3</v>
      </c>
      <c r="M90" s="2" t="s">
        <v>146</v>
      </c>
      <c r="N90" s="2">
        <v>10</v>
      </c>
      <c r="O90" s="2">
        <f t="shared" ca="1" si="11"/>
        <v>0</v>
      </c>
      <c r="P90" s="2">
        <v>15</v>
      </c>
      <c r="Q90" s="2">
        <f>Таблица1[[#This Row],[ID]]</f>
        <v>177</v>
      </c>
      <c r="R90" s="2">
        <v>14</v>
      </c>
      <c r="S90" s="2">
        <f t="shared" ca="1" si="12"/>
        <v>11</v>
      </c>
    </row>
    <row r="91" spans="1:19" x14ac:dyDescent="0.25">
      <c r="A91" s="2">
        <v>179</v>
      </c>
      <c r="B91" s="2" t="str">
        <f>"MR-"&amp;Таблица1[[#This Row],[ID]]</f>
        <v>MR-179</v>
      </c>
      <c r="C91" s="2">
        <v>2</v>
      </c>
      <c r="D91" s="3" t="s">
        <v>223</v>
      </c>
      <c r="E91" s="9">
        <f ca="1">Таблица1[[#Headers],[01.май]]+RANDBETWEEN(1,3)+E90-Таблица1[[#Headers],[01.май]]</f>
        <v>43759</v>
      </c>
      <c r="F91" s="9">
        <f ca="1">Таблица1[[#This Row],[01.май]]+RANDBETWEEN(1,10)</f>
        <v>43767</v>
      </c>
      <c r="G91" s="2">
        <v>2</v>
      </c>
      <c r="H91">
        <f t="shared" ca="1" si="9"/>
        <v>2</v>
      </c>
      <c r="I91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2</v>
      </c>
      <c r="J91" s="2">
        <f ca="1">Таблица1[[#This Row],[Трудоемкость исходная]]</f>
        <v>2</v>
      </c>
      <c r="K91" s="2">
        <f t="shared" ca="1" si="10"/>
        <v>3</v>
      </c>
      <c r="L91" s="2">
        <f>VLOOKUP(Таблица1[[#This Row],[Release]],Релизы!A:B,2,FALSE)</f>
        <v>3</v>
      </c>
      <c r="M91" s="2" t="s">
        <v>146</v>
      </c>
      <c r="N91" s="2">
        <v>10</v>
      </c>
      <c r="O91" s="2">
        <f t="shared" ca="1" si="11"/>
        <v>0</v>
      </c>
      <c r="P91" s="2">
        <v>15</v>
      </c>
      <c r="Q91" s="2">
        <f>Таблица1[[#This Row],[ID]]</f>
        <v>179</v>
      </c>
      <c r="R91" s="2">
        <v>14</v>
      </c>
      <c r="S91" s="2">
        <f t="shared" ca="1" si="12"/>
        <v>8</v>
      </c>
    </row>
    <row r="92" spans="1:19" x14ac:dyDescent="0.25">
      <c r="A92" s="2">
        <v>181</v>
      </c>
      <c r="B92" s="2" t="str">
        <f>"MR-"&amp;Таблица1[[#This Row],[ID]]</f>
        <v>MR-181</v>
      </c>
      <c r="C92" s="2">
        <v>5</v>
      </c>
      <c r="D92" s="3" t="s">
        <v>224</v>
      </c>
      <c r="E92" s="9">
        <f ca="1">Таблица1[[#Headers],[01.май]]+RANDBETWEEN(1,3)+E91-Таблица1[[#Headers],[01.май]]</f>
        <v>43760</v>
      </c>
      <c r="F92" s="9">
        <f ca="1">Таблица1[[#This Row],[01.май]]+RANDBETWEEN(1,10)</f>
        <v>43765</v>
      </c>
      <c r="G92" s="2">
        <v>1</v>
      </c>
      <c r="H92">
        <f t="shared" ca="1" si="9"/>
        <v>4</v>
      </c>
      <c r="I92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4</v>
      </c>
      <c r="J92" s="2">
        <f ca="1">Таблица1[[#This Row],[Трудоемкость исходная]]</f>
        <v>4</v>
      </c>
      <c r="K92" s="2">
        <f t="shared" ca="1" si="10"/>
        <v>3</v>
      </c>
      <c r="L92" s="2">
        <f>VLOOKUP(Таблица1[[#This Row],[Release]],Релизы!A:B,2,FALSE)</f>
        <v>3</v>
      </c>
      <c r="M92" s="2" t="s">
        <v>146</v>
      </c>
      <c r="N92" s="2">
        <v>10</v>
      </c>
      <c r="O92" s="2">
        <f t="shared" ca="1" si="11"/>
        <v>1</v>
      </c>
      <c r="P92" s="2">
        <v>15</v>
      </c>
      <c r="Q92" s="2">
        <f>Таблица1[[#This Row],[ID]]</f>
        <v>181</v>
      </c>
      <c r="R92" s="2">
        <v>14</v>
      </c>
      <c r="S92" s="2">
        <f t="shared" ca="1" si="12"/>
        <v>12</v>
      </c>
    </row>
    <row r="93" spans="1:19" x14ac:dyDescent="0.25">
      <c r="A93" s="2">
        <v>183</v>
      </c>
      <c r="B93" s="2" t="str">
        <f>"MR-"&amp;Таблица1[[#This Row],[ID]]</f>
        <v>MR-183</v>
      </c>
      <c r="C93" s="2">
        <v>4</v>
      </c>
      <c r="D93" s="3" t="s">
        <v>77</v>
      </c>
      <c r="E93" s="9">
        <f ca="1">Таблица1[[#Headers],[01.май]]+RANDBETWEEN(1,3)+E92-Таблица1[[#Headers],[01.май]]</f>
        <v>43762</v>
      </c>
      <c r="F93" s="9">
        <f ca="1">Таблица1[[#This Row],[01.май]]+RANDBETWEEN(1,10)</f>
        <v>43766</v>
      </c>
      <c r="G93" s="2">
        <v>1</v>
      </c>
      <c r="H93">
        <f t="shared" ca="1" si="9"/>
        <v>4</v>
      </c>
      <c r="I93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4</v>
      </c>
      <c r="J93" s="2">
        <f ca="1">Таблица1[[#This Row],[Трудоемкость исходная]]</f>
        <v>4</v>
      </c>
      <c r="K93" s="2">
        <f t="shared" ca="1" si="10"/>
        <v>1</v>
      </c>
      <c r="L93" s="2">
        <f>VLOOKUP(Таблица1[[#This Row],[Release]],Релизы!A:B,2,FALSE)</f>
        <v>3</v>
      </c>
      <c r="M93" s="2" t="s">
        <v>146</v>
      </c>
      <c r="N93" s="2">
        <v>10</v>
      </c>
      <c r="O93" s="2">
        <f t="shared" ca="1" si="11"/>
        <v>1</v>
      </c>
      <c r="P93" s="2">
        <v>15</v>
      </c>
      <c r="Q93" s="2">
        <f>Таблица1[[#This Row],[ID]]</f>
        <v>183</v>
      </c>
      <c r="R93" s="2">
        <v>14</v>
      </c>
      <c r="S93" s="2">
        <f t="shared" ca="1" si="12"/>
        <v>8</v>
      </c>
    </row>
    <row r="94" spans="1:19" x14ac:dyDescent="0.25">
      <c r="A94" s="2">
        <v>185</v>
      </c>
      <c r="B94" s="2" t="str">
        <f>"MR-"&amp;Таблица1[[#This Row],[ID]]</f>
        <v>MR-185</v>
      </c>
      <c r="C94" s="2">
        <v>1</v>
      </c>
      <c r="D94" s="3" t="s">
        <v>78</v>
      </c>
      <c r="E94" s="9">
        <f ca="1">Таблица1[[#Headers],[01.май]]+RANDBETWEEN(1,3)+E93-Таблица1[[#Headers],[01.май]]</f>
        <v>43765</v>
      </c>
      <c r="F94" s="9">
        <f ca="1">Таблица1[[#This Row],[01.май]]+RANDBETWEEN(1,10)</f>
        <v>43771</v>
      </c>
      <c r="G94" s="2">
        <v>1</v>
      </c>
      <c r="H94">
        <f t="shared" ca="1" si="9"/>
        <v>3</v>
      </c>
      <c r="I94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3</v>
      </c>
      <c r="J94" s="2">
        <f ca="1">Таблица1[[#This Row],[Трудоемкость исходная]]</f>
        <v>3</v>
      </c>
      <c r="K94" s="2">
        <f t="shared" ca="1" si="10"/>
        <v>3</v>
      </c>
      <c r="L94" s="2">
        <f>VLOOKUP(Таблица1[[#This Row],[Release]],Релизы!A:B,2,FALSE)</f>
        <v>3</v>
      </c>
      <c r="M94" s="2" t="s">
        <v>146</v>
      </c>
      <c r="N94" s="2">
        <v>10</v>
      </c>
      <c r="O94" s="2">
        <f t="shared" ca="1" si="11"/>
        <v>0</v>
      </c>
      <c r="P94" s="2">
        <v>15</v>
      </c>
      <c r="Q94" s="2">
        <f>Таблица1[[#This Row],[ID]]</f>
        <v>185</v>
      </c>
      <c r="R94" s="2">
        <v>14</v>
      </c>
      <c r="S94" s="2">
        <f t="shared" ca="1" si="12"/>
        <v>9</v>
      </c>
    </row>
    <row r="95" spans="1:19" x14ac:dyDescent="0.25">
      <c r="A95" s="2">
        <v>187</v>
      </c>
      <c r="B95" s="2" t="str">
        <f>"MR-"&amp;Таблица1[[#This Row],[ID]]</f>
        <v>MR-187</v>
      </c>
      <c r="C95" s="2">
        <v>3</v>
      </c>
      <c r="D95" s="3" t="s">
        <v>79</v>
      </c>
      <c r="E95" s="9">
        <f ca="1">Таблица1[[#Headers],[01.май]]+RANDBETWEEN(1,3)+E94-Таблица1[[#Headers],[01.май]]</f>
        <v>43766</v>
      </c>
      <c r="F95" s="9">
        <f ca="1">Таблица1[[#This Row],[01.май]]+RANDBETWEEN(1,10)</f>
        <v>43776</v>
      </c>
      <c r="G95" s="2">
        <v>1</v>
      </c>
      <c r="H95">
        <f t="shared" ca="1" si="9"/>
        <v>1</v>
      </c>
      <c r="I95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1</v>
      </c>
      <c r="J95" s="2">
        <f ca="1">Таблица1[[#This Row],[Трудоемкость исходная]]</f>
        <v>1</v>
      </c>
      <c r="K95" s="2">
        <f t="shared" ca="1" si="10"/>
        <v>2</v>
      </c>
      <c r="L95" s="2">
        <f>VLOOKUP(Таблица1[[#This Row],[Release]],Релизы!A:B,2,FALSE)</f>
        <v>3</v>
      </c>
      <c r="M95" s="2" t="s">
        <v>146</v>
      </c>
      <c r="N95" s="2">
        <v>10</v>
      </c>
      <c r="O95" s="2">
        <f t="shared" ca="1" si="11"/>
        <v>0</v>
      </c>
      <c r="P95" s="2">
        <v>15</v>
      </c>
      <c r="Q95" s="2">
        <f>Таблица1[[#This Row],[ID]]</f>
        <v>187</v>
      </c>
      <c r="R95" s="2">
        <v>14</v>
      </c>
      <c r="S95" s="2">
        <f t="shared" ca="1" si="12"/>
        <v>12</v>
      </c>
    </row>
    <row r="96" spans="1:19" x14ac:dyDescent="0.25">
      <c r="A96" s="2">
        <v>189</v>
      </c>
      <c r="B96" s="2" t="str">
        <f>"MR-"&amp;Таблица1[[#This Row],[ID]]</f>
        <v>MR-189</v>
      </c>
      <c r="C96" s="2">
        <v>5</v>
      </c>
      <c r="D96" s="3" t="s">
        <v>225</v>
      </c>
      <c r="E96" s="9">
        <f ca="1">Таблица1[[#Headers],[01.май]]+RANDBETWEEN(1,3)+E95-Таблица1[[#Headers],[01.май]]</f>
        <v>43767</v>
      </c>
      <c r="F96" s="9">
        <f ca="1">Таблица1[[#This Row],[01.май]]+RANDBETWEEN(1,10)</f>
        <v>43771</v>
      </c>
      <c r="G96" s="2">
        <v>1</v>
      </c>
      <c r="H96">
        <f t="shared" ca="1" si="9"/>
        <v>8</v>
      </c>
      <c r="I96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7</v>
      </c>
      <c r="J96" s="2">
        <f ca="1">Таблица1[[#This Row],[Трудоемкость исходная]]</f>
        <v>8</v>
      </c>
      <c r="K96" s="2">
        <f t="shared" ca="1" si="10"/>
        <v>3</v>
      </c>
      <c r="L96" s="2">
        <f>VLOOKUP(Таблица1[[#This Row],[Release]],Релизы!A:B,2,FALSE)</f>
        <v>3</v>
      </c>
      <c r="M96" s="2" t="s">
        <v>146</v>
      </c>
      <c r="N96" s="2">
        <v>10</v>
      </c>
      <c r="O96" s="2">
        <f t="shared" ca="1" si="11"/>
        <v>1</v>
      </c>
      <c r="P96" s="2">
        <v>15</v>
      </c>
      <c r="Q96" s="2">
        <f>Таблица1[[#This Row],[ID]]</f>
        <v>189</v>
      </c>
      <c r="R96" s="2">
        <v>14</v>
      </c>
      <c r="S96" s="2">
        <f t="shared" ca="1" si="12"/>
        <v>8</v>
      </c>
    </row>
    <row r="97" spans="1:19" x14ac:dyDescent="0.25">
      <c r="A97" s="2">
        <v>191</v>
      </c>
      <c r="B97" s="2" t="str">
        <f>"MR-"&amp;Таблица1[[#This Row],[ID]]</f>
        <v>MR-191</v>
      </c>
      <c r="C97" s="2">
        <v>3</v>
      </c>
      <c r="D97" s="3" t="s">
        <v>226</v>
      </c>
      <c r="E97" s="9">
        <f ca="1">Таблица1[[#Headers],[01.май]]+RANDBETWEEN(1,3)+E96-Таблица1[[#Headers],[01.май]]</f>
        <v>43768</v>
      </c>
      <c r="F97" s="9">
        <f ca="1">Таблица1[[#This Row],[01.май]]+RANDBETWEEN(1,10)</f>
        <v>43774</v>
      </c>
      <c r="G97" s="2">
        <v>1</v>
      </c>
      <c r="H97">
        <f t="shared" ca="1" si="9"/>
        <v>3</v>
      </c>
      <c r="I97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3</v>
      </c>
      <c r="J97" s="2">
        <f ca="1">Таблица1[[#This Row],[Трудоемкость исходная]]</f>
        <v>3</v>
      </c>
      <c r="K97" s="2">
        <f t="shared" ca="1" si="10"/>
        <v>2</v>
      </c>
      <c r="L97" s="2">
        <f>VLOOKUP(Таблица1[[#This Row],[Release]],Релизы!A:B,2,FALSE)</f>
        <v>3</v>
      </c>
      <c r="M97" s="2" t="s">
        <v>146</v>
      </c>
      <c r="N97" s="2">
        <v>10</v>
      </c>
      <c r="O97" s="2">
        <f t="shared" ca="1" si="11"/>
        <v>0</v>
      </c>
      <c r="P97" s="2">
        <v>15</v>
      </c>
      <c r="Q97" s="2">
        <f>Таблица1[[#This Row],[ID]]</f>
        <v>191</v>
      </c>
      <c r="R97" s="2">
        <v>14</v>
      </c>
      <c r="S97" s="2">
        <f t="shared" ca="1" si="12"/>
        <v>9</v>
      </c>
    </row>
    <row r="98" spans="1:19" x14ac:dyDescent="0.25">
      <c r="A98" s="2">
        <v>193</v>
      </c>
      <c r="B98" s="2" t="str">
        <f>"MR-"&amp;Таблица1[[#This Row],[ID]]</f>
        <v>MR-193</v>
      </c>
      <c r="C98" s="2">
        <v>2</v>
      </c>
      <c r="D98" s="3" t="s">
        <v>227</v>
      </c>
      <c r="E98" s="9">
        <f ca="1">Таблица1[[#Headers],[01.май]]+RANDBETWEEN(1,3)+E97-Таблица1[[#Headers],[01.май]]</f>
        <v>43770</v>
      </c>
      <c r="F98" s="9">
        <f ca="1">Таблица1[[#This Row],[01.май]]+RANDBETWEEN(1,10)</f>
        <v>43772</v>
      </c>
      <c r="G98" s="2">
        <v>1</v>
      </c>
      <c r="H98">
        <f t="shared" ca="1" si="9"/>
        <v>4</v>
      </c>
      <c r="I98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4</v>
      </c>
      <c r="J98" s="2">
        <f ca="1">Таблица1[[#This Row],[Трудоемкость исходная]]</f>
        <v>4</v>
      </c>
      <c r="K98" s="2">
        <f t="shared" ca="1" si="10"/>
        <v>3</v>
      </c>
      <c r="L98" s="2">
        <f>VLOOKUP(Таблица1[[#This Row],[Release]],Релизы!A:B,2,FALSE)</f>
        <v>3</v>
      </c>
      <c r="M98" s="2" t="s">
        <v>146</v>
      </c>
      <c r="N98" s="2">
        <v>10</v>
      </c>
      <c r="O98" s="2">
        <f t="shared" ca="1" si="11"/>
        <v>1</v>
      </c>
      <c r="P98" s="2">
        <v>15</v>
      </c>
      <c r="Q98" s="2">
        <f>Таблица1[[#This Row],[ID]]</f>
        <v>193</v>
      </c>
      <c r="R98" s="2">
        <v>14</v>
      </c>
      <c r="S98" s="2">
        <f t="shared" ca="1" si="12"/>
        <v>8</v>
      </c>
    </row>
    <row r="99" spans="1:19" x14ac:dyDescent="0.25">
      <c r="A99" s="2">
        <v>195</v>
      </c>
      <c r="B99" s="2" t="str">
        <f>"MR-"&amp;Таблица1[[#This Row],[ID]]</f>
        <v>MR-195</v>
      </c>
      <c r="C99" s="2">
        <v>1</v>
      </c>
      <c r="D99" s="3" t="s">
        <v>80</v>
      </c>
      <c r="E99" s="9">
        <f ca="1">Таблица1[[#Headers],[01.май]]+RANDBETWEEN(1,3)+E98-Таблица1[[#Headers],[01.май]]</f>
        <v>43771</v>
      </c>
      <c r="F99" s="9">
        <f ca="1">Таблица1[[#This Row],[01.май]]+RANDBETWEEN(1,10)</f>
        <v>43778</v>
      </c>
      <c r="G99" s="2">
        <v>1</v>
      </c>
      <c r="H99">
        <f t="shared" ca="1" si="9"/>
        <v>5</v>
      </c>
      <c r="I99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5</v>
      </c>
      <c r="J99" s="2">
        <f ca="1">Таблица1[[#This Row],[Трудоемкость исходная]]</f>
        <v>5</v>
      </c>
      <c r="K99" s="2">
        <f t="shared" ca="1" si="10"/>
        <v>3</v>
      </c>
      <c r="L99" s="2">
        <f>VLOOKUP(Таблица1[[#This Row],[Release]],Релизы!A:B,2,FALSE)</f>
        <v>3</v>
      </c>
      <c r="M99" s="2" t="s">
        <v>146</v>
      </c>
      <c r="N99" s="2">
        <v>10</v>
      </c>
      <c r="O99" s="2">
        <f t="shared" ca="1" si="11"/>
        <v>1</v>
      </c>
      <c r="P99" s="2">
        <v>15</v>
      </c>
      <c r="Q99" s="2">
        <f>Таблица1[[#This Row],[ID]]</f>
        <v>195</v>
      </c>
      <c r="R99" s="2">
        <v>14</v>
      </c>
      <c r="S99" s="2">
        <f t="shared" ca="1" si="12"/>
        <v>12</v>
      </c>
    </row>
    <row r="100" spans="1:19" x14ac:dyDescent="0.25">
      <c r="A100" s="2">
        <v>197</v>
      </c>
      <c r="B100" s="2" t="str">
        <f>"MR-"&amp;Таблица1[[#This Row],[ID]]</f>
        <v>MR-197</v>
      </c>
      <c r="C100" s="2">
        <v>5</v>
      </c>
      <c r="D100" s="3" t="s">
        <v>81</v>
      </c>
      <c r="E100" s="9">
        <f ca="1">Таблица1[[#Headers],[01.май]]+RANDBETWEEN(1,3)+E99-Таблица1[[#Headers],[01.май]]</f>
        <v>43772</v>
      </c>
      <c r="F100" s="9">
        <f ca="1">Таблица1[[#This Row],[01.май]]+RANDBETWEEN(1,10)</f>
        <v>43780</v>
      </c>
      <c r="G100" s="2">
        <v>1</v>
      </c>
      <c r="H100">
        <f t="shared" ca="1" si="9"/>
        <v>1</v>
      </c>
      <c r="I100" s="2">
        <f ca="1">Таблица1[[#This Row],[Трудоемкость исходная]]+RANDBETWEEN(-Таблица1[[#This Row],[Трудоемкость исходная]]/6,-Таблица1[[#This Row],[Трудоемкость исходная]]/6)</f>
        <v>1</v>
      </c>
      <c r="J100" s="2">
        <f ca="1">Таблица1[[#This Row],[Трудоемкость исходная]]</f>
        <v>1</v>
      </c>
      <c r="K100" s="2">
        <f t="shared" ca="1" si="10"/>
        <v>2</v>
      </c>
      <c r="L100" s="2">
        <f>VLOOKUP(Таблица1[[#This Row],[Release]],Релизы!A:B,2,FALSE)</f>
        <v>3</v>
      </c>
      <c r="M100" s="2" t="s">
        <v>146</v>
      </c>
      <c r="N100" s="2">
        <v>10</v>
      </c>
      <c r="O100" s="2">
        <f t="shared" ca="1" si="11"/>
        <v>1</v>
      </c>
      <c r="P100" s="2">
        <v>15</v>
      </c>
      <c r="Q100" s="2">
        <f>Таблица1[[#This Row],[ID]]</f>
        <v>197</v>
      </c>
      <c r="R100" s="2">
        <v>14</v>
      </c>
      <c r="S100" s="2">
        <f t="shared" ca="1" si="12"/>
        <v>9</v>
      </c>
    </row>
  </sheetData>
  <phoneticPr fontId="3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E2BE9-254D-4EC5-A305-FFA94AFC7BB5}">
  <sheetPr codeName="Лист9"/>
  <dimension ref="A1:S100"/>
  <sheetViews>
    <sheetView topLeftCell="G1" workbookViewId="0">
      <selection activeCell="R11" sqref="R11"/>
    </sheetView>
  </sheetViews>
  <sheetFormatPr defaultRowHeight="15" x14ac:dyDescent="0.25"/>
  <cols>
    <col min="1" max="1" width="5" style="2" customWidth="1"/>
    <col min="2" max="2" width="12" style="2" bestFit="1" customWidth="1"/>
    <col min="3" max="3" width="12" style="2" customWidth="1"/>
    <col min="4" max="6" width="32.42578125" style="2" customWidth="1"/>
    <col min="7" max="7" width="8.85546875" style="2" customWidth="1"/>
    <col min="8" max="8" width="24.85546875" style="2" customWidth="1"/>
    <col min="9" max="9" width="22" style="2" customWidth="1"/>
    <col min="10" max="10" width="17.7109375" style="2" customWidth="1"/>
    <col min="11" max="11" width="15.28515625" style="2" customWidth="1"/>
    <col min="12" max="12" width="5.42578125" style="2" customWidth="1"/>
    <col min="13" max="13" width="20.42578125" style="2" customWidth="1"/>
    <col min="14" max="14" width="8.5703125" style="2" customWidth="1"/>
    <col min="15" max="15" width="6.42578125" style="2" customWidth="1"/>
    <col min="16" max="19" width="9.7109375" style="2" customWidth="1"/>
    <col min="20" max="16384" width="9.140625" style="2"/>
  </cols>
  <sheetData>
    <row r="1" spans="1:19" x14ac:dyDescent="0.25">
      <c r="A1" s="2" t="s">
        <v>0</v>
      </c>
      <c r="B1" s="2" t="s">
        <v>105</v>
      </c>
      <c r="C1" s="2" t="s">
        <v>106</v>
      </c>
      <c r="D1" s="2" t="s">
        <v>107</v>
      </c>
      <c r="E1" s="8" t="s">
        <v>109</v>
      </c>
      <c r="F1" s="8" t="s">
        <v>104</v>
      </c>
      <c r="G1" s="2" t="s">
        <v>10</v>
      </c>
      <c r="H1" s="2" t="s">
        <v>11</v>
      </c>
      <c r="I1" s="2" t="s">
        <v>12</v>
      </c>
      <c r="J1" s="2" t="s">
        <v>13</v>
      </c>
      <c r="K1" s="2" t="s">
        <v>14</v>
      </c>
      <c r="L1" s="2" t="s">
        <v>15</v>
      </c>
      <c r="M1" s="2" t="s">
        <v>16</v>
      </c>
      <c r="N1" s="2" t="s">
        <v>17</v>
      </c>
      <c r="O1" s="2" t="s">
        <v>108</v>
      </c>
      <c r="P1" s="2" t="s">
        <v>18</v>
      </c>
      <c r="Q1" s="2" t="s">
        <v>111</v>
      </c>
      <c r="R1" s="2" t="s">
        <v>112</v>
      </c>
      <c r="S1" s="2" t="s">
        <v>113</v>
      </c>
    </row>
    <row r="2" spans="1:19" x14ac:dyDescent="0.25">
      <c r="A2" s="2">
        <v>2</v>
      </c>
      <c r="B2" s="2" t="str">
        <f>"MR-"&amp;Таблица14[[#This Row],[ID]]</f>
        <v>MR-2</v>
      </c>
      <c r="C2" s="2">
        <v>1</v>
      </c>
      <c r="D2" s="3" t="s">
        <v>19</v>
      </c>
      <c r="E2" s="9">
        <f ca="1">Таблица14[[#Headers],[01.май]]+RANDBETWEEN(1,3)+E1-Таблица14[[#Headers],[01.май]]</f>
        <v>43589</v>
      </c>
      <c r="F2" s="9">
        <f ca="1">Таблица14[[#This Row],[01.май]]+RANDBETWEEN(1,10)</f>
        <v>43596</v>
      </c>
      <c r="G2" s="2">
        <v>4</v>
      </c>
      <c r="H2">
        <f t="shared" ref="H2:H33" ca="1" si="0">RANDBETWEEN(1,10)</f>
        <v>6</v>
      </c>
      <c r="I2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5</v>
      </c>
      <c r="J2" s="2">
        <v>0</v>
      </c>
      <c r="K2" s="2">
        <f t="shared" ref="K2:K33" ca="1" si="1">RANDBETWEEN(4,6)</f>
        <v>5</v>
      </c>
      <c r="L2" s="2">
        <f>VLOOKUP(Таблица14[[#This Row],[Release]],Релизы!A:B,2,FALSE)</f>
        <v>1</v>
      </c>
      <c r="M2" s="2" t="s">
        <v>146</v>
      </c>
      <c r="N2" s="2">
        <v>5</v>
      </c>
      <c r="O2" s="2">
        <f ca="1">IF(RANDBETWEEN(0,10)&gt;7,1,0)</f>
        <v>0</v>
      </c>
      <c r="P2" s="2">
        <v>2</v>
      </c>
      <c r="Q2" s="2">
        <f>Таблица14[[#This Row],[ID]]</f>
        <v>2</v>
      </c>
      <c r="R2" s="2">
        <v>1</v>
      </c>
      <c r="S2" s="2">
        <f t="shared" ref="S2:S22" ca="1" si="2">RANDBETWEEN(13,17)</f>
        <v>14</v>
      </c>
    </row>
    <row r="3" spans="1:19" x14ac:dyDescent="0.25">
      <c r="A3" s="2">
        <v>4</v>
      </c>
      <c r="B3" s="2" t="str">
        <f>"MR-"&amp;Таблица14[[#This Row],[ID]]</f>
        <v>MR-4</v>
      </c>
      <c r="C3" s="2">
        <v>3</v>
      </c>
      <c r="D3" s="3" t="s">
        <v>192</v>
      </c>
      <c r="E3" s="9">
        <f ca="1">Таблица14[[#Headers],[01.май]]+RANDBETWEEN(1,3)+E2-Таблица14[[#Headers],[01.май]]</f>
        <v>43591</v>
      </c>
      <c r="F3" s="9">
        <f ca="1">Таблица14[[#This Row],[01.май]]+RANDBETWEEN(1,10)</f>
        <v>43598</v>
      </c>
      <c r="G3" s="2">
        <v>4</v>
      </c>
      <c r="H3">
        <f t="shared" ca="1" si="0"/>
        <v>4</v>
      </c>
      <c r="I3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4</v>
      </c>
      <c r="J3" s="2">
        <v>0</v>
      </c>
      <c r="K3" s="2">
        <f t="shared" ca="1" si="1"/>
        <v>4</v>
      </c>
      <c r="L3" s="2">
        <f>VLOOKUP(Таблица14[[#This Row],[Release]],Релизы!A:B,2,FALSE)</f>
        <v>1</v>
      </c>
      <c r="M3" s="2" t="s">
        <v>146</v>
      </c>
      <c r="N3" s="2">
        <v>5</v>
      </c>
      <c r="O3" s="2">
        <f t="shared" ref="O3:O34" ca="1" si="3">IF(RANDBETWEEN(0,10)&gt;8,1,0)</f>
        <v>0</v>
      </c>
      <c r="P3" s="2">
        <v>2</v>
      </c>
      <c r="Q3" s="2">
        <f>Таблица14[[#This Row],[ID]]</f>
        <v>4</v>
      </c>
      <c r="R3" s="2">
        <v>1</v>
      </c>
      <c r="S3" s="2">
        <f t="shared" ca="1" si="2"/>
        <v>17</v>
      </c>
    </row>
    <row r="4" spans="1:19" x14ac:dyDescent="0.25">
      <c r="A4" s="2">
        <v>6</v>
      </c>
      <c r="B4" s="2" t="str">
        <f>"MR-"&amp;Таблица14[[#This Row],[ID]]</f>
        <v>MR-6</v>
      </c>
      <c r="C4" s="2">
        <v>3</v>
      </c>
      <c r="D4" s="3" t="s">
        <v>193</v>
      </c>
      <c r="E4" s="9">
        <f ca="1">Таблица14[[#Headers],[01.май]]+RANDBETWEEN(1,3)+E3-Таблица14[[#Headers],[01.май]]</f>
        <v>43594</v>
      </c>
      <c r="F4" s="9">
        <f ca="1">Таблица14[[#This Row],[01.май]]+RANDBETWEEN(1,10)</f>
        <v>43604</v>
      </c>
      <c r="G4" s="2">
        <v>4</v>
      </c>
      <c r="H4">
        <f t="shared" ca="1" si="0"/>
        <v>7</v>
      </c>
      <c r="I4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6</v>
      </c>
      <c r="J4" s="2">
        <v>0</v>
      </c>
      <c r="K4" s="2">
        <f t="shared" ca="1" si="1"/>
        <v>6</v>
      </c>
      <c r="L4" s="2">
        <f>VLOOKUP(Таблица14[[#This Row],[Release]],Релизы!A:B,2,FALSE)</f>
        <v>1</v>
      </c>
      <c r="M4" s="2" t="s">
        <v>146</v>
      </c>
      <c r="N4" s="2">
        <v>5</v>
      </c>
      <c r="O4" s="2">
        <f t="shared" ca="1" si="3"/>
        <v>1</v>
      </c>
      <c r="P4" s="2">
        <v>2</v>
      </c>
      <c r="Q4" s="2">
        <f>Таблица14[[#This Row],[ID]]</f>
        <v>6</v>
      </c>
      <c r="R4" s="2">
        <v>1</v>
      </c>
      <c r="S4" s="2">
        <f t="shared" ca="1" si="2"/>
        <v>17</v>
      </c>
    </row>
    <row r="5" spans="1:19" x14ac:dyDescent="0.25">
      <c r="A5" s="2">
        <v>8</v>
      </c>
      <c r="B5" s="2" t="str">
        <f>"MR-"&amp;Таблица14[[#This Row],[ID]]</f>
        <v>MR-8</v>
      </c>
      <c r="C5" s="2">
        <v>1</v>
      </c>
      <c r="D5" s="3" t="s">
        <v>194</v>
      </c>
      <c r="E5" s="9">
        <f ca="1">Таблица14[[#Headers],[01.май]]+RANDBETWEEN(1,3)+E4-Таблица14[[#Headers],[01.май]]</f>
        <v>43595</v>
      </c>
      <c r="F5" s="9">
        <f ca="1">Таблица14[[#This Row],[01.май]]+RANDBETWEEN(1,10)</f>
        <v>43599</v>
      </c>
      <c r="G5" s="2">
        <v>4</v>
      </c>
      <c r="H5">
        <f t="shared" ca="1" si="0"/>
        <v>1</v>
      </c>
      <c r="I5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1</v>
      </c>
      <c r="J5" s="2">
        <v>0</v>
      </c>
      <c r="K5" s="2">
        <f t="shared" ca="1" si="1"/>
        <v>4</v>
      </c>
      <c r="L5" s="2">
        <f>VLOOKUP(Таблица14[[#This Row],[Release]],Релизы!A:B,2,FALSE)</f>
        <v>1</v>
      </c>
      <c r="M5" s="2" t="s">
        <v>146</v>
      </c>
      <c r="N5" s="2">
        <v>5</v>
      </c>
      <c r="O5" s="2">
        <f t="shared" ca="1" si="3"/>
        <v>0</v>
      </c>
      <c r="P5" s="2">
        <v>2</v>
      </c>
      <c r="Q5" s="2">
        <f>Таблица14[[#This Row],[ID]]</f>
        <v>8</v>
      </c>
      <c r="R5" s="2">
        <v>1</v>
      </c>
      <c r="S5" s="2">
        <f t="shared" ca="1" si="2"/>
        <v>14</v>
      </c>
    </row>
    <row r="6" spans="1:19" x14ac:dyDescent="0.25">
      <c r="A6" s="2">
        <v>10</v>
      </c>
      <c r="B6" s="2" t="str">
        <f>"MR-"&amp;Таблица14[[#This Row],[ID]]</f>
        <v>MR-10</v>
      </c>
      <c r="C6" s="2">
        <v>1</v>
      </c>
      <c r="D6" s="3" t="s">
        <v>20</v>
      </c>
      <c r="E6" s="9">
        <f ca="1">Таблица14[[#Headers],[01.май]]+RANDBETWEEN(1,3)+E5-Таблица14[[#Headers],[01.май]]</f>
        <v>43598</v>
      </c>
      <c r="F6" s="9">
        <f ca="1">Таблица14[[#This Row],[01.май]]+RANDBETWEEN(1,10)</f>
        <v>43604</v>
      </c>
      <c r="G6" s="2">
        <v>4</v>
      </c>
      <c r="H6">
        <f t="shared" ca="1" si="0"/>
        <v>4</v>
      </c>
      <c r="I6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4</v>
      </c>
      <c r="J6" s="2">
        <v>0</v>
      </c>
      <c r="K6" s="2">
        <f t="shared" ca="1" si="1"/>
        <v>6</v>
      </c>
      <c r="L6" s="2">
        <f>VLOOKUP(Таблица14[[#This Row],[Release]],Релизы!A:B,2,FALSE)</f>
        <v>1</v>
      </c>
      <c r="M6" s="2" t="s">
        <v>146</v>
      </c>
      <c r="N6" s="2">
        <v>5</v>
      </c>
      <c r="O6" s="2">
        <f t="shared" ca="1" si="3"/>
        <v>0</v>
      </c>
      <c r="P6" s="2">
        <v>2</v>
      </c>
      <c r="Q6" s="2">
        <f>Таблица14[[#This Row],[ID]]</f>
        <v>10</v>
      </c>
      <c r="R6" s="2">
        <v>1</v>
      </c>
      <c r="S6" s="2">
        <f t="shared" ca="1" si="2"/>
        <v>16</v>
      </c>
    </row>
    <row r="7" spans="1:19" x14ac:dyDescent="0.25">
      <c r="A7" s="2">
        <v>12</v>
      </c>
      <c r="B7" s="2" t="str">
        <f>"MR-"&amp;Таблица14[[#This Row],[ID]]</f>
        <v>MR-12</v>
      </c>
      <c r="C7" s="2">
        <v>5</v>
      </c>
      <c r="D7" s="3" t="s">
        <v>195</v>
      </c>
      <c r="E7" s="9">
        <f ca="1">Таблица14[[#Headers],[01.май]]+RANDBETWEEN(1,3)+E6-Таблица14[[#Headers],[01.май]]</f>
        <v>43600</v>
      </c>
      <c r="F7" s="9">
        <f ca="1">Таблица14[[#This Row],[01.май]]+RANDBETWEEN(1,10)</f>
        <v>43609</v>
      </c>
      <c r="G7" s="2">
        <v>4</v>
      </c>
      <c r="H7">
        <f t="shared" ca="1" si="0"/>
        <v>4</v>
      </c>
      <c r="I7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4</v>
      </c>
      <c r="J7" s="2">
        <v>0</v>
      </c>
      <c r="K7" s="2">
        <f t="shared" ca="1" si="1"/>
        <v>5</v>
      </c>
      <c r="L7" s="2">
        <f>VLOOKUP(Таблица14[[#This Row],[Release]],Релизы!A:B,2,FALSE)</f>
        <v>1</v>
      </c>
      <c r="M7" s="2" t="s">
        <v>146</v>
      </c>
      <c r="N7" s="2">
        <v>5</v>
      </c>
      <c r="O7" s="2">
        <f t="shared" ca="1" si="3"/>
        <v>0</v>
      </c>
      <c r="P7" s="2">
        <v>2</v>
      </c>
      <c r="Q7" s="2">
        <f>Таблица14[[#This Row],[ID]]</f>
        <v>12</v>
      </c>
      <c r="R7" s="2">
        <v>1</v>
      </c>
      <c r="S7" s="2">
        <f t="shared" ca="1" si="2"/>
        <v>16</v>
      </c>
    </row>
    <row r="8" spans="1:19" x14ac:dyDescent="0.25">
      <c r="A8" s="2">
        <v>14</v>
      </c>
      <c r="B8" s="2" t="str">
        <f>"MR-"&amp;Таблица14[[#This Row],[ID]]</f>
        <v>MR-14</v>
      </c>
      <c r="C8" s="2">
        <v>4</v>
      </c>
      <c r="D8" s="3" t="s">
        <v>196</v>
      </c>
      <c r="E8" s="9">
        <f ca="1">Таблица14[[#Headers],[01.май]]+RANDBETWEEN(1,3)+E7-Таблица14[[#Headers],[01.май]]</f>
        <v>43603</v>
      </c>
      <c r="F8" s="9">
        <f ca="1">Таблица14[[#This Row],[01.май]]+RANDBETWEEN(1,10)</f>
        <v>43609</v>
      </c>
      <c r="G8" s="2">
        <v>4</v>
      </c>
      <c r="H8">
        <f t="shared" ca="1" si="0"/>
        <v>1</v>
      </c>
      <c r="I8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1</v>
      </c>
      <c r="J8" s="2">
        <v>0</v>
      </c>
      <c r="K8" s="2">
        <f t="shared" ca="1" si="1"/>
        <v>5</v>
      </c>
      <c r="L8" s="2">
        <f>VLOOKUP(Таблица14[[#This Row],[Release]],Релизы!A:B,2,FALSE)</f>
        <v>1</v>
      </c>
      <c r="M8" s="2" t="s">
        <v>146</v>
      </c>
      <c r="N8" s="2">
        <v>5</v>
      </c>
      <c r="O8" s="2">
        <f t="shared" ca="1" si="3"/>
        <v>0</v>
      </c>
      <c r="P8" s="2">
        <v>2</v>
      </c>
      <c r="Q8" s="2">
        <f>Таблица14[[#This Row],[ID]]</f>
        <v>14</v>
      </c>
      <c r="R8" s="2">
        <v>1</v>
      </c>
      <c r="S8" s="2">
        <f t="shared" ca="1" si="2"/>
        <v>14</v>
      </c>
    </row>
    <row r="9" spans="1:19" x14ac:dyDescent="0.25">
      <c r="A9" s="2">
        <v>16</v>
      </c>
      <c r="B9" s="2" t="str">
        <f>"MR-"&amp;Таблица14[[#This Row],[ID]]</f>
        <v>MR-16</v>
      </c>
      <c r="C9" s="2">
        <v>4</v>
      </c>
      <c r="D9" s="3" t="s">
        <v>21</v>
      </c>
      <c r="E9" s="9">
        <f ca="1">Таблица14[[#Headers],[01.май]]+RANDBETWEEN(1,3)+E8-Таблица14[[#Headers],[01.май]]</f>
        <v>43604</v>
      </c>
      <c r="F9" s="9">
        <f ca="1">Таблица14[[#This Row],[01.май]]+RANDBETWEEN(1,10)</f>
        <v>43614</v>
      </c>
      <c r="G9" s="2">
        <v>4</v>
      </c>
      <c r="H9">
        <f t="shared" ca="1" si="0"/>
        <v>1</v>
      </c>
      <c r="I9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1</v>
      </c>
      <c r="J9" s="2">
        <v>0</v>
      </c>
      <c r="K9" s="2">
        <f t="shared" ca="1" si="1"/>
        <v>4</v>
      </c>
      <c r="L9" s="2">
        <f>VLOOKUP(Таблица14[[#This Row],[Release]],Релизы!A:B,2,FALSE)</f>
        <v>1</v>
      </c>
      <c r="M9" s="2" t="s">
        <v>146</v>
      </c>
      <c r="N9" s="2">
        <v>5</v>
      </c>
      <c r="O9" s="2">
        <f t="shared" ca="1" si="3"/>
        <v>0</v>
      </c>
      <c r="P9" s="2">
        <v>2</v>
      </c>
      <c r="Q9" s="2">
        <f>Таблица14[[#This Row],[ID]]</f>
        <v>16</v>
      </c>
      <c r="R9" s="2">
        <v>1</v>
      </c>
      <c r="S9" s="2">
        <f t="shared" ca="1" si="2"/>
        <v>16</v>
      </c>
    </row>
    <row r="10" spans="1:19" x14ac:dyDescent="0.25">
      <c r="A10" s="2">
        <v>18</v>
      </c>
      <c r="B10" s="2" t="str">
        <f>"MR-"&amp;Таблица14[[#This Row],[ID]]</f>
        <v>MR-18</v>
      </c>
      <c r="C10" s="2">
        <v>1</v>
      </c>
      <c r="D10" s="3" t="s">
        <v>22</v>
      </c>
      <c r="E10" s="9">
        <f ca="1">Таблица14[[#Headers],[01.май]]+RANDBETWEEN(1,3)+E9-Таблица14[[#Headers],[01.май]]</f>
        <v>43606</v>
      </c>
      <c r="F10" s="9">
        <f ca="1">Таблица14[[#This Row],[01.май]]+RANDBETWEEN(1,10)</f>
        <v>43607</v>
      </c>
      <c r="G10" s="2">
        <v>4</v>
      </c>
      <c r="H10">
        <f t="shared" ca="1" si="0"/>
        <v>2</v>
      </c>
      <c r="I10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2</v>
      </c>
      <c r="J10" s="2">
        <v>0</v>
      </c>
      <c r="K10" s="2">
        <f t="shared" ca="1" si="1"/>
        <v>6</v>
      </c>
      <c r="L10" s="2">
        <f>VLOOKUP(Таблица14[[#This Row],[Release]],Релизы!A:B,2,FALSE)</f>
        <v>1</v>
      </c>
      <c r="M10" s="2" t="s">
        <v>146</v>
      </c>
      <c r="N10" s="2">
        <v>5</v>
      </c>
      <c r="O10" s="2">
        <f t="shared" ca="1" si="3"/>
        <v>0</v>
      </c>
      <c r="P10" s="2">
        <v>2</v>
      </c>
      <c r="Q10" s="2">
        <f>Таблица14[[#This Row],[ID]]</f>
        <v>18</v>
      </c>
      <c r="R10" s="2">
        <v>1</v>
      </c>
      <c r="S10" s="2">
        <f t="shared" ca="1" si="2"/>
        <v>14</v>
      </c>
    </row>
    <row r="11" spans="1:19" x14ac:dyDescent="0.25">
      <c r="A11" s="2">
        <v>20</v>
      </c>
      <c r="B11" s="2" t="str">
        <f>"MR-"&amp;Таблица14[[#This Row],[ID]]</f>
        <v>MR-20</v>
      </c>
      <c r="C11" s="2">
        <v>5</v>
      </c>
      <c r="D11" s="3" t="s">
        <v>23</v>
      </c>
      <c r="E11" s="9">
        <f ca="1">Таблица14[[#Headers],[01.май]]+RANDBETWEEN(1,3)+E10-Таблица14[[#Headers],[01.май]]</f>
        <v>43609</v>
      </c>
      <c r="F11" s="9">
        <f ca="1">Таблица14[[#This Row],[01.май]]+RANDBETWEEN(1,10)</f>
        <v>43614</v>
      </c>
      <c r="G11" s="2">
        <v>4</v>
      </c>
      <c r="H11">
        <f t="shared" ca="1" si="0"/>
        <v>6</v>
      </c>
      <c r="I11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5</v>
      </c>
      <c r="J11" s="2">
        <v>0</v>
      </c>
      <c r="K11" s="2">
        <f t="shared" ca="1" si="1"/>
        <v>4</v>
      </c>
      <c r="L11" s="2">
        <f>VLOOKUP(Таблица14[[#This Row],[Release]],Релизы!A:B,2,FALSE)</f>
        <v>1</v>
      </c>
      <c r="M11" s="2" t="s">
        <v>146</v>
      </c>
      <c r="N11" s="2">
        <v>5</v>
      </c>
      <c r="O11" s="2">
        <f t="shared" ca="1" si="3"/>
        <v>0</v>
      </c>
      <c r="P11" s="2">
        <v>2</v>
      </c>
      <c r="Q11" s="2">
        <f>Таблица14[[#This Row],[ID]]</f>
        <v>20</v>
      </c>
      <c r="R11" s="2">
        <v>1</v>
      </c>
      <c r="S11" s="2">
        <f t="shared" ca="1" si="2"/>
        <v>17</v>
      </c>
    </row>
    <row r="12" spans="1:19" x14ac:dyDescent="0.25">
      <c r="A12" s="2">
        <v>22</v>
      </c>
      <c r="B12" s="2" t="str">
        <f>"MR-"&amp;Таблица14[[#This Row],[ID]]</f>
        <v>MR-22</v>
      </c>
      <c r="C12" s="2">
        <v>3</v>
      </c>
      <c r="D12" s="3" t="s">
        <v>197</v>
      </c>
      <c r="E12" s="9">
        <f ca="1">Таблица14[[#Headers],[01.май]]+RANDBETWEEN(1,3)+E11-Таблица14[[#Headers],[01.май]]</f>
        <v>43612</v>
      </c>
      <c r="F12" s="9">
        <f ca="1">Таблица14[[#This Row],[01.май]]+RANDBETWEEN(1,10)</f>
        <v>43620</v>
      </c>
      <c r="G12" s="2">
        <v>4</v>
      </c>
      <c r="H12">
        <f t="shared" ca="1" si="0"/>
        <v>7</v>
      </c>
      <c r="I12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6</v>
      </c>
      <c r="J12" s="2">
        <v>0</v>
      </c>
      <c r="K12" s="2">
        <f t="shared" ca="1" si="1"/>
        <v>5</v>
      </c>
      <c r="L12" s="2">
        <f>VLOOKUP(Таблица14[[#This Row],[Release]],Релизы!A:B,2,FALSE)</f>
        <v>1</v>
      </c>
      <c r="M12" s="2" t="s">
        <v>146</v>
      </c>
      <c r="N12" s="2">
        <v>5</v>
      </c>
      <c r="O12" s="2">
        <f t="shared" ca="1" si="3"/>
        <v>0</v>
      </c>
      <c r="P12" s="2">
        <v>2</v>
      </c>
      <c r="Q12" s="2">
        <f>Таблица14[[#This Row],[ID]]</f>
        <v>22</v>
      </c>
      <c r="R12" s="2">
        <v>1</v>
      </c>
      <c r="S12" s="2">
        <f t="shared" ca="1" si="2"/>
        <v>16</v>
      </c>
    </row>
    <row r="13" spans="1:19" x14ac:dyDescent="0.25">
      <c r="A13" s="2">
        <v>24</v>
      </c>
      <c r="B13" s="2" t="str">
        <f>"MR-"&amp;Таблица14[[#This Row],[ID]]</f>
        <v>MR-24</v>
      </c>
      <c r="C13" s="2">
        <v>2</v>
      </c>
      <c r="D13" s="3" t="s">
        <v>198</v>
      </c>
      <c r="E13" s="9">
        <f ca="1">Таблица14[[#Headers],[01.май]]+RANDBETWEEN(1,3)+E12-Таблица14[[#Headers],[01.май]]</f>
        <v>43614</v>
      </c>
      <c r="F13" s="9">
        <f ca="1">Таблица14[[#This Row],[01.май]]+RANDBETWEEN(1,10)</f>
        <v>43615</v>
      </c>
      <c r="G13" s="2">
        <v>4</v>
      </c>
      <c r="H13">
        <f t="shared" ca="1" si="0"/>
        <v>4</v>
      </c>
      <c r="I13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4</v>
      </c>
      <c r="J13" s="2">
        <v>0</v>
      </c>
      <c r="K13" s="2">
        <f t="shared" ca="1" si="1"/>
        <v>4</v>
      </c>
      <c r="L13" s="2">
        <f>VLOOKUP(Таблица14[[#This Row],[Release]],Релизы!A:B,2,FALSE)</f>
        <v>1</v>
      </c>
      <c r="M13" s="2" t="s">
        <v>146</v>
      </c>
      <c r="N13" s="2">
        <v>5</v>
      </c>
      <c r="O13" s="2">
        <f t="shared" ca="1" si="3"/>
        <v>0</v>
      </c>
      <c r="P13" s="2">
        <v>2</v>
      </c>
      <c r="Q13" s="2">
        <f>Таблица14[[#This Row],[ID]]</f>
        <v>24</v>
      </c>
      <c r="R13" s="2">
        <v>1</v>
      </c>
      <c r="S13" s="2">
        <f t="shared" ca="1" si="2"/>
        <v>17</v>
      </c>
    </row>
    <row r="14" spans="1:19" x14ac:dyDescent="0.25">
      <c r="A14" s="2">
        <v>26</v>
      </c>
      <c r="B14" s="2" t="str">
        <f>"MR-"&amp;Таблица14[[#This Row],[ID]]</f>
        <v>MR-26</v>
      </c>
      <c r="C14" s="2">
        <v>1</v>
      </c>
      <c r="D14" s="3" t="s">
        <v>24</v>
      </c>
      <c r="E14" s="9">
        <f ca="1">Таблица14[[#Headers],[01.май]]+RANDBETWEEN(1,3)+E13-Таблица14[[#Headers],[01.май]]</f>
        <v>43616</v>
      </c>
      <c r="F14" s="9">
        <f ca="1">Таблица14[[#This Row],[01.май]]+RANDBETWEEN(1,10)</f>
        <v>43625</v>
      </c>
      <c r="G14" s="2">
        <v>4</v>
      </c>
      <c r="H14">
        <f t="shared" ca="1" si="0"/>
        <v>8</v>
      </c>
      <c r="I14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7</v>
      </c>
      <c r="J14" s="2">
        <v>0</v>
      </c>
      <c r="K14" s="2">
        <f t="shared" ca="1" si="1"/>
        <v>6</v>
      </c>
      <c r="L14" s="2">
        <f>VLOOKUP(Таблица14[[#This Row],[Release]],Релизы!A:B,2,FALSE)</f>
        <v>1</v>
      </c>
      <c r="M14" s="2" t="s">
        <v>146</v>
      </c>
      <c r="N14" s="2">
        <v>5</v>
      </c>
      <c r="O14" s="2">
        <f t="shared" ca="1" si="3"/>
        <v>0</v>
      </c>
      <c r="P14" s="2">
        <v>2</v>
      </c>
      <c r="Q14" s="2">
        <f>Таблица14[[#This Row],[ID]]</f>
        <v>26</v>
      </c>
      <c r="R14" s="2">
        <v>1</v>
      </c>
      <c r="S14" s="2">
        <f t="shared" ca="1" si="2"/>
        <v>17</v>
      </c>
    </row>
    <row r="15" spans="1:19" x14ac:dyDescent="0.25">
      <c r="A15" s="2">
        <v>28</v>
      </c>
      <c r="B15" s="2" t="str">
        <f>"MR-"&amp;Таблица14[[#This Row],[ID]]</f>
        <v>MR-28</v>
      </c>
      <c r="C15" s="2">
        <v>5</v>
      </c>
      <c r="D15" s="3" t="s">
        <v>25</v>
      </c>
      <c r="E15" s="9">
        <f ca="1">Таблица14[[#Headers],[01.май]]+RANDBETWEEN(1,3)+E14-Таблица14[[#Headers],[01.май]]</f>
        <v>43617</v>
      </c>
      <c r="F15" s="9">
        <f ca="1">Таблица14[[#This Row],[01.май]]+RANDBETWEEN(1,10)</f>
        <v>43621</v>
      </c>
      <c r="G15" s="2">
        <v>4</v>
      </c>
      <c r="H15">
        <f t="shared" ca="1" si="0"/>
        <v>6</v>
      </c>
      <c r="I15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5</v>
      </c>
      <c r="J15" s="2">
        <v>0</v>
      </c>
      <c r="K15" s="2">
        <f t="shared" ca="1" si="1"/>
        <v>6</v>
      </c>
      <c r="L15" s="2">
        <f>VLOOKUP(Таблица14[[#This Row],[Release]],Релизы!A:B,2,FALSE)</f>
        <v>1</v>
      </c>
      <c r="M15" s="2" t="s">
        <v>146</v>
      </c>
      <c r="N15" s="2">
        <v>5</v>
      </c>
      <c r="O15" s="2">
        <f t="shared" ca="1" si="3"/>
        <v>0</v>
      </c>
      <c r="P15" s="2">
        <v>4</v>
      </c>
      <c r="Q15" s="2">
        <f>Таблица14[[#This Row],[ID]]</f>
        <v>28</v>
      </c>
      <c r="R15" s="2">
        <v>1</v>
      </c>
      <c r="S15" s="2">
        <f t="shared" ca="1" si="2"/>
        <v>16</v>
      </c>
    </row>
    <row r="16" spans="1:19" x14ac:dyDescent="0.25">
      <c r="A16" s="2">
        <v>30</v>
      </c>
      <c r="B16" s="2" t="str">
        <f>"MR-"&amp;Таблица14[[#This Row],[ID]]</f>
        <v>MR-30</v>
      </c>
      <c r="C16" s="2">
        <v>2</v>
      </c>
      <c r="D16" s="3" t="s">
        <v>26</v>
      </c>
      <c r="E16" s="9">
        <f ca="1">Таблица14[[#Headers],[01.май]]+RANDBETWEEN(1,3)+E15-Таблица14[[#Headers],[01.май]]</f>
        <v>43620</v>
      </c>
      <c r="F16" s="9">
        <f ca="1">Таблица14[[#This Row],[01.май]]+RANDBETWEEN(1,10)</f>
        <v>43623</v>
      </c>
      <c r="G16" s="2">
        <v>4</v>
      </c>
      <c r="H16">
        <f t="shared" ca="1" si="0"/>
        <v>7</v>
      </c>
      <c r="I16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6</v>
      </c>
      <c r="J16" s="2">
        <v>0</v>
      </c>
      <c r="K16" s="2">
        <f t="shared" ca="1" si="1"/>
        <v>5</v>
      </c>
      <c r="L16" s="2">
        <f>VLOOKUP(Таблица14[[#This Row],[Release]],Релизы!A:B,2,FALSE)</f>
        <v>1</v>
      </c>
      <c r="M16" s="2" t="s">
        <v>146</v>
      </c>
      <c r="N16" s="2">
        <v>5</v>
      </c>
      <c r="O16" s="2">
        <f t="shared" ca="1" si="3"/>
        <v>1</v>
      </c>
      <c r="P16" s="2">
        <v>4</v>
      </c>
      <c r="Q16" s="2">
        <f>Таблица14[[#This Row],[ID]]</f>
        <v>30</v>
      </c>
      <c r="R16" s="2">
        <v>1</v>
      </c>
      <c r="S16" s="2">
        <f t="shared" ca="1" si="2"/>
        <v>16</v>
      </c>
    </row>
    <row r="17" spans="1:19" x14ac:dyDescent="0.25">
      <c r="A17" s="2">
        <v>32</v>
      </c>
      <c r="B17" s="2" t="str">
        <f>"MR-"&amp;Таблица14[[#This Row],[ID]]</f>
        <v>MR-32</v>
      </c>
      <c r="C17" s="2">
        <v>5</v>
      </c>
      <c r="D17" s="3" t="s">
        <v>27</v>
      </c>
      <c r="E17" s="9">
        <f ca="1">Таблица14[[#Headers],[01.май]]+RANDBETWEEN(1,3)+E16-Таблица14[[#Headers],[01.май]]</f>
        <v>43621</v>
      </c>
      <c r="F17" s="9">
        <f ca="1">Таблица14[[#This Row],[01.май]]+RANDBETWEEN(1,10)</f>
        <v>43628</v>
      </c>
      <c r="G17" s="2">
        <v>4</v>
      </c>
      <c r="H17">
        <f t="shared" ca="1" si="0"/>
        <v>10</v>
      </c>
      <c r="I17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9</v>
      </c>
      <c r="J17" s="2">
        <v>0</v>
      </c>
      <c r="K17" s="2">
        <f t="shared" ca="1" si="1"/>
        <v>5</v>
      </c>
      <c r="L17" s="2">
        <f>VLOOKUP(Таблица14[[#This Row],[Release]],Релизы!A:B,2,FALSE)</f>
        <v>1</v>
      </c>
      <c r="M17" s="2" t="s">
        <v>146</v>
      </c>
      <c r="N17" s="2">
        <v>5</v>
      </c>
      <c r="O17" s="2">
        <f t="shared" ca="1" si="3"/>
        <v>0</v>
      </c>
      <c r="P17" s="2">
        <v>4</v>
      </c>
      <c r="Q17" s="2">
        <f>Таблица14[[#This Row],[ID]]</f>
        <v>32</v>
      </c>
      <c r="R17" s="2">
        <v>1</v>
      </c>
      <c r="S17" s="2">
        <f t="shared" ca="1" si="2"/>
        <v>15</v>
      </c>
    </row>
    <row r="18" spans="1:19" x14ac:dyDescent="0.25">
      <c r="A18" s="2">
        <v>34</v>
      </c>
      <c r="B18" s="2" t="str">
        <f>"MR-"&amp;Таблица14[[#This Row],[ID]]</f>
        <v>MR-34</v>
      </c>
      <c r="C18" s="2">
        <v>5</v>
      </c>
      <c r="D18" s="3" t="s">
        <v>199</v>
      </c>
      <c r="E18" s="9">
        <f ca="1">Таблица14[[#Headers],[01.май]]+RANDBETWEEN(1,3)+E17-Таблица14[[#Headers],[01.май]]</f>
        <v>43624</v>
      </c>
      <c r="F18" s="9">
        <f ca="1">Таблица14[[#This Row],[01.май]]+RANDBETWEEN(1,10)</f>
        <v>43632</v>
      </c>
      <c r="G18" s="2">
        <v>4</v>
      </c>
      <c r="H18">
        <f t="shared" ca="1" si="0"/>
        <v>9</v>
      </c>
      <c r="I18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8</v>
      </c>
      <c r="J18" s="2">
        <v>0</v>
      </c>
      <c r="K18" s="2">
        <f t="shared" ca="1" si="1"/>
        <v>4</v>
      </c>
      <c r="L18" s="2">
        <f>VLOOKUP(Таблица14[[#This Row],[Release]],Релизы!A:B,2,FALSE)</f>
        <v>2</v>
      </c>
      <c r="M18" s="2" t="s">
        <v>146</v>
      </c>
      <c r="N18" s="2">
        <v>5</v>
      </c>
      <c r="O18" s="2">
        <f t="shared" ca="1" si="3"/>
        <v>0</v>
      </c>
      <c r="P18" s="2">
        <v>4</v>
      </c>
      <c r="Q18" s="2">
        <f>Таблица14[[#This Row],[ID]]</f>
        <v>34</v>
      </c>
      <c r="R18" s="2">
        <v>2</v>
      </c>
      <c r="S18" s="2">
        <f t="shared" ca="1" si="2"/>
        <v>13</v>
      </c>
    </row>
    <row r="19" spans="1:19" x14ac:dyDescent="0.25">
      <c r="A19" s="2">
        <v>36</v>
      </c>
      <c r="B19" s="2" t="str">
        <f>"MR-"&amp;Таблица14[[#This Row],[ID]]</f>
        <v>MR-36</v>
      </c>
      <c r="C19" s="2">
        <v>5</v>
      </c>
      <c r="D19" s="3" t="s">
        <v>200</v>
      </c>
      <c r="E19" s="9">
        <f ca="1">Таблица14[[#Headers],[01.май]]+RANDBETWEEN(1,3)+E18-Таблица14[[#Headers],[01.май]]</f>
        <v>43625</v>
      </c>
      <c r="F19" s="9">
        <f ca="1">Таблица14[[#This Row],[01.май]]+RANDBETWEEN(1,10)</f>
        <v>43630</v>
      </c>
      <c r="G19" s="2">
        <v>4</v>
      </c>
      <c r="H19">
        <f t="shared" ca="1" si="0"/>
        <v>10</v>
      </c>
      <c r="I19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9</v>
      </c>
      <c r="J19" s="2">
        <v>0</v>
      </c>
      <c r="K19" s="2">
        <f t="shared" ca="1" si="1"/>
        <v>6</v>
      </c>
      <c r="L19" s="2">
        <f>VLOOKUP(Таблица14[[#This Row],[Release]],Релизы!A:B,2,FALSE)</f>
        <v>2</v>
      </c>
      <c r="M19" s="2" t="s">
        <v>146</v>
      </c>
      <c r="N19" s="2">
        <v>5</v>
      </c>
      <c r="O19" s="2">
        <f t="shared" ca="1" si="3"/>
        <v>0</v>
      </c>
      <c r="P19" s="2">
        <v>4</v>
      </c>
      <c r="Q19" s="2">
        <f>Таблица14[[#This Row],[ID]]</f>
        <v>36</v>
      </c>
      <c r="R19" s="2">
        <v>2</v>
      </c>
      <c r="S19" s="2">
        <f t="shared" ca="1" si="2"/>
        <v>13</v>
      </c>
    </row>
    <row r="20" spans="1:19" x14ac:dyDescent="0.25">
      <c r="A20" s="2">
        <v>38</v>
      </c>
      <c r="B20" s="2" t="str">
        <f>"MR-"&amp;Таблица14[[#This Row],[ID]]</f>
        <v>MR-38</v>
      </c>
      <c r="C20" s="2">
        <v>2</v>
      </c>
      <c r="D20" s="3" t="s">
        <v>28</v>
      </c>
      <c r="E20" s="9">
        <f ca="1">Таблица14[[#Headers],[01.май]]+RANDBETWEEN(1,3)+E19-Таблица14[[#Headers],[01.май]]</f>
        <v>43628</v>
      </c>
      <c r="F20" s="9">
        <f ca="1">Таблица14[[#This Row],[01.май]]+RANDBETWEEN(1,10)</f>
        <v>43633</v>
      </c>
      <c r="G20" s="2">
        <v>4</v>
      </c>
      <c r="H20">
        <f t="shared" ca="1" si="0"/>
        <v>7</v>
      </c>
      <c r="I20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6</v>
      </c>
      <c r="J20" s="2">
        <v>0</v>
      </c>
      <c r="K20" s="2">
        <f t="shared" ca="1" si="1"/>
        <v>5</v>
      </c>
      <c r="L20" s="2">
        <f>VLOOKUP(Таблица14[[#This Row],[Release]],Релизы!A:B,2,FALSE)</f>
        <v>2</v>
      </c>
      <c r="M20" s="2" t="s">
        <v>146</v>
      </c>
      <c r="N20" s="2">
        <v>5</v>
      </c>
      <c r="O20" s="2">
        <f t="shared" ca="1" si="3"/>
        <v>0</v>
      </c>
      <c r="P20" s="2">
        <v>4</v>
      </c>
      <c r="Q20" s="2">
        <f>Таблица14[[#This Row],[ID]]</f>
        <v>38</v>
      </c>
      <c r="R20" s="2">
        <v>2</v>
      </c>
      <c r="S20" s="2">
        <f t="shared" ca="1" si="2"/>
        <v>17</v>
      </c>
    </row>
    <row r="21" spans="1:19" x14ac:dyDescent="0.25">
      <c r="A21" s="2">
        <v>40</v>
      </c>
      <c r="B21" s="2" t="str">
        <f>"MR-"&amp;Таблица14[[#This Row],[ID]]</f>
        <v>MR-40</v>
      </c>
      <c r="C21" s="2">
        <v>5</v>
      </c>
      <c r="D21" s="3" t="s">
        <v>29</v>
      </c>
      <c r="E21" s="9">
        <f ca="1">Таблица14[[#Headers],[01.май]]+RANDBETWEEN(1,3)+E20-Таблица14[[#Headers],[01.май]]</f>
        <v>43630</v>
      </c>
      <c r="F21" s="9">
        <f ca="1">Таблица14[[#This Row],[01.май]]+RANDBETWEEN(1,10)</f>
        <v>43636</v>
      </c>
      <c r="G21" s="2">
        <v>4</v>
      </c>
      <c r="H21">
        <f t="shared" ca="1" si="0"/>
        <v>8</v>
      </c>
      <c r="I21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7</v>
      </c>
      <c r="J21" s="2">
        <v>0</v>
      </c>
      <c r="K21" s="2">
        <f t="shared" ca="1" si="1"/>
        <v>5</v>
      </c>
      <c r="L21" s="2">
        <f>VLOOKUP(Таблица14[[#This Row],[Release]],Релизы!A:B,2,FALSE)</f>
        <v>2</v>
      </c>
      <c r="M21" s="2" t="s">
        <v>146</v>
      </c>
      <c r="N21" s="2">
        <v>5</v>
      </c>
      <c r="O21" s="2">
        <f t="shared" ca="1" si="3"/>
        <v>1</v>
      </c>
      <c r="P21" s="2">
        <v>4</v>
      </c>
      <c r="Q21" s="2">
        <f>Таблица14[[#This Row],[ID]]</f>
        <v>40</v>
      </c>
      <c r="R21" s="2">
        <v>2</v>
      </c>
      <c r="S21" s="2">
        <f t="shared" ca="1" si="2"/>
        <v>13</v>
      </c>
    </row>
    <row r="22" spans="1:19" x14ac:dyDescent="0.25">
      <c r="A22" s="2">
        <v>42</v>
      </c>
      <c r="B22" s="2" t="str">
        <f>"MR-"&amp;Таблица14[[#This Row],[ID]]</f>
        <v>MR-42</v>
      </c>
      <c r="C22" s="2">
        <v>4</v>
      </c>
      <c r="D22" s="3" t="s">
        <v>30</v>
      </c>
      <c r="E22" s="9">
        <f ca="1">Таблица14[[#Headers],[01.май]]+RANDBETWEEN(1,3)+E21-Таблица14[[#Headers],[01.май]]</f>
        <v>43631</v>
      </c>
      <c r="F22" s="9">
        <f ca="1">Таблица14[[#This Row],[01.май]]+RANDBETWEEN(1,10)</f>
        <v>43640</v>
      </c>
      <c r="G22" s="2">
        <v>4</v>
      </c>
      <c r="H22">
        <f t="shared" ca="1" si="0"/>
        <v>5</v>
      </c>
      <c r="I22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5</v>
      </c>
      <c r="J22" s="2">
        <v>0</v>
      </c>
      <c r="K22" s="2">
        <f t="shared" ca="1" si="1"/>
        <v>6</v>
      </c>
      <c r="L22" s="2">
        <f>VLOOKUP(Таблица14[[#This Row],[Release]],Релизы!A:B,2,FALSE)</f>
        <v>2</v>
      </c>
      <c r="M22" s="2" t="s">
        <v>146</v>
      </c>
      <c r="N22" s="2">
        <v>5</v>
      </c>
      <c r="O22" s="2">
        <f t="shared" ca="1" si="3"/>
        <v>0</v>
      </c>
      <c r="P22" s="2">
        <v>4</v>
      </c>
      <c r="Q22" s="2">
        <f>Таблица14[[#This Row],[ID]]</f>
        <v>42</v>
      </c>
      <c r="R22" s="2">
        <v>2</v>
      </c>
      <c r="S22" s="2">
        <f t="shared" ca="1" si="2"/>
        <v>13</v>
      </c>
    </row>
    <row r="23" spans="1:19" x14ac:dyDescent="0.25">
      <c r="A23" s="2">
        <v>44</v>
      </c>
      <c r="B23" s="2" t="str">
        <f>"MR-"&amp;Таблица14[[#This Row],[ID]]</f>
        <v>MR-44</v>
      </c>
      <c r="C23" s="2">
        <v>5</v>
      </c>
      <c r="D23" s="3" t="s">
        <v>201</v>
      </c>
      <c r="E23" s="9">
        <f ca="1">Таблица14[[#Headers],[01.май]]+RANDBETWEEN(1,3)+E22-Таблица14[[#Headers],[01.май]]</f>
        <v>43633</v>
      </c>
      <c r="F23" s="9">
        <f ca="1">Таблица14[[#This Row],[01.май]]+RANDBETWEEN(1,10)</f>
        <v>43636</v>
      </c>
      <c r="G23" s="2">
        <v>4</v>
      </c>
      <c r="H23">
        <f t="shared" ca="1" si="0"/>
        <v>5</v>
      </c>
      <c r="I23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5</v>
      </c>
      <c r="J23" s="2">
        <v>0</v>
      </c>
      <c r="K23" s="2">
        <f t="shared" ca="1" si="1"/>
        <v>5</v>
      </c>
      <c r="L23" s="2">
        <f>VLOOKUP(Таблица14[[#This Row],[Release]],Релизы!A:B,2,FALSE)</f>
        <v>2</v>
      </c>
      <c r="M23" s="2" t="s">
        <v>146</v>
      </c>
      <c r="N23" s="2">
        <v>6</v>
      </c>
      <c r="O23" s="2">
        <f t="shared" ca="1" si="3"/>
        <v>1</v>
      </c>
      <c r="P23" s="2">
        <v>4</v>
      </c>
      <c r="Q23" s="2">
        <f>Таблица14[[#This Row],[ID]]</f>
        <v>44</v>
      </c>
      <c r="R23" s="2">
        <v>2</v>
      </c>
      <c r="S23" s="2">
        <f t="shared" ref="S23:S51" ca="1" si="4">RANDBETWEEN(15,19)</f>
        <v>16</v>
      </c>
    </row>
    <row r="24" spans="1:19" x14ac:dyDescent="0.25">
      <c r="A24" s="2">
        <v>46</v>
      </c>
      <c r="B24" s="2" t="str">
        <f>"MR-"&amp;Таблица14[[#This Row],[ID]]</f>
        <v>MR-46</v>
      </c>
      <c r="C24" s="2">
        <v>1</v>
      </c>
      <c r="D24" s="3" t="s">
        <v>202</v>
      </c>
      <c r="E24" s="9">
        <f ca="1">Таблица14[[#Headers],[01.май]]+RANDBETWEEN(1,3)+E23-Таблица14[[#Headers],[01.май]]</f>
        <v>43636</v>
      </c>
      <c r="F24" s="9">
        <f ca="1">Таблица14[[#This Row],[01.май]]+RANDBETWEEN(1,10)</f>
        <v>43641</v>
      </c>
      <c r="G24" s="2">
        <v>4</v>
      </c>
      <c r="H24">
        <f t="shared" ca="1" si="0"/>
        <v>4</v>
      </c>
      <c r="I24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4</v>
      </c>
      <c r="J24" s="2">
        <v>0</v>
      </c>
      <c r="K24" s="2">
        <f t="shared" ca="1" si="1"/>
        <v>6</v>
      </c>
      <c r="L24" s="2">
        <f>VLOOKUP(Таблица14[[#This Row],[Release]],Релизы!A:B,2,FALSE)</f>
        <v>2</v>
      </c>
      <c r="M24" s="2" t="s">
        <v>146</v>
      </c>
      <c r="N24" s="2">
        <v>6</v>
      </c>
      <c r="O24" s="2">
        <f t="shared" ca="1" si="3"/>
        <v>0</v>
      </c>
      <c r="P24" s="2">
        <v>6</v>
      </c>
      <c r="Q24" s="2">
        <f>Таблица14[[#This Row],[ID]]</f>
        <v>46</v>
      </c>
      <c r="R24" s="2">
        <v>2</v>
      </c>
      <c r="S24" s="2">
        <f t="shared" ca="1" si="4"/>
        <v>19</v>
      </c>
    </row>
    <row r="25" spans="1:19" x14ac:dyDescent="0.25">
      <c r="A25" s="2">
        <v>48</v>
      </c>
      <c r="B25" s="2" t="str">
        <f>"MR-"&amp;Таблица14[[#This Row],[ID]]</f>
        <v>MR-48</v>
      </c>
      <c r="C25" s="2">
        <v>5</v>
      </c>
      <c r="D25" s="3" t="s">
        <v>31</v>
      </c>
      <c r="E25" s="9">
        <f ca="1">Таблица14[[#Headers],[01.май]]+RANDBETWEEN(1,3)+E24-Таблица14[[#Headers],[01.май]]</f>
        <v>43639</v>
      </c>
      <c r="F25" s="9">
        <f ca="1">Таблица14[[#This Row],[01.май]]+RANDBETWEEN(1,10)</f>
        <v>43649</v>
      </c>
      <c r="G25" s="2">
        <v>4</v>
      </c>
      <c r="H25">
        <f t="shared" ca="1" si="0"/>
        <v>2</v>
      </c>
      <c r="I25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2</v>
      </c>
      <c r="J25" s="2">
        <v>0</v>
      </c>
      <c r="K25" s="2">
        <f t="shared" ca="1" si="1"/>
        <v>5</v>
      </c>
      <c r="L25" s="2">
        <f>VLOOKUP(Таблица14[[#This Row],[Release]],Релизы!A:B,2,FALSE)</f>
        <v>2</v>
      </c>
      <c r="M25" s="2" t="s">
        <v>146</v>
      </c>
      <c r="N25" s="2">
        <v>6</v>
      </c>
      <c r="O25" s="2">
        <f t="shared" ca="1" si="3"/>
        <v>0</v>
      </c>
      <c r="P25" s="2">
        <v>6</v>
      </c>
      <c r="Q25" s="2">
        <f>Таблица14[[#This Row],[ID]]</f>
        <v>48</v>
      </c>
      <c r="R25" s="2">
        <v>2</v>
      </c>
      <c r="S25" s="2">
        <f t="shared" ca="1" si="4"/>
        <v>19</v>
      </c>
    </row>
    <row r="26" spans="1:19" x14ac:dyDescent="0.25">
      <c r="A26" s="2">
        <v>50</v>
      </c>
      <c r="B26" s="2" t="str">
        <f>"MR-"&amp;Таблица14[[#This Row],[ID]]</f>
        <v>MR-50</v>
      </c>
      <c r="C26" s="2">
        <v>3</v>
      </c>
      <c r="D26" s="3" t="s">
        <v>203</v>
      </c>
      <c r="E26" s="9">
        <f ca="1">Таблица14[[#Headers],[01.май]]+RANDBETWEEN(1,3)+E25-Таблица14[[#Headers],[01.май]]</f>
        <v>43642</v>
      </c>
      <c r="F26" s="9">
        <f ca="1">Таблица14[[#This Row],[01.май]]+RANDBETWEEN(1,10)</f>
        <v>43646</v>
      </c>
      <c r="G26" s="2">
        <v>4</v>
      </c>
      <c r="H26">
        <f t="shared" ca="1" si="0"/>
        <v>6</v>
      </c>
      <c r="I26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5</v>
      </c>
      <c r="J26" s="2">
        <v>0</v>
      </c>
      <c r="K26" s="2">
        <f t="shared" ca="1" si="1"/>
        <v>4</v>
      </c>
      <c r="L26" s="2">
        <f>VLOOKUP(Таблица14[[#This Row],[Release]],Релизы!A:B,2,FALSE)</f>
        <v>2</v>
      </c>
      <c r="M26" s="2" t="s">
        <v>146</v>
      </c>
      <c r="N26" s="2">
        <v>6</v>
      </c>
      <c r="O26" s="2">
        <f t="shared" ca="1" si="3"/>
        <v>0</v>
      </c>
      <c r="P26" s="2">
        <v>6</v>
      </c>
      <c r="Q26" s="2">
        <f>Таблица14[[#This Row],[ID]]</f>
        <v>50</v>
      </c>
      <c r="R26" s="2">
        <v>2</v>
      </c>
      <c r="S26" s="2">
        <f t="shared" ca="1" si="4"/>
        <v>19</v>
      </c>
    </row>
    <row r="27" spans="1:19" x14ac:dyDescent="0.25">
      <c r="A27" s="2">
        <v>52</v>
      </c>
      <c r="B27" s="2" t="str">
        <f>"MR-"&amp;Таблица14[[#This Row],[ID]]</f>
        <v>MR-52</v>
      </c>
      <c r="C27" s="2">
        <v>1</v>
      </c>
      <c r="D27" s="3" t="s">
        <v>32</v>
      </c>
      <c r="E27" s="9">
        <f ca="1">Таблица14[[#Headers],[01.май]]+RANDBETWEEN(1,3)+E26-Таблица14[[#Headers],[01.май]]</f>
        <v>43645</v>
      </c>
      <c r="F27" s="9">
        <f ca="1">Таблица14[[#This Row],[01.май]]+RANDBETWEEN(1,10)</f>
        <v>43650</v>
      </c>
      <c r="G27" s="2">
        <v>4</v>
      </c>
      <c r="H27">
        <f t="shared" ca="1" si="0"/>
        <v>6</v>
      </c>
      <c r="I27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5</v>
      </c>
      <c r="J27" s="2">
        <v>0</v>
      </c>
      <c r="K27" s="2">
        <f t="shared" ca="1" si="1"/>
        <v>5</v>
      </c>
      <c r="L27" s="2">
        <f>VLOOKUP(Таблица14[[#This Row],[Release]],Релизы!A:B,2,FALSE)</f>
        <v>2</v>
      </c>
      <c r="M27" s="2" t="s">
        <v>146</v>
      </c>
      <c r="N27" s="2">
        <v>6</v>
      </c>
      <c r="O27" s="2">
        <f t="shared" ca="1" si="3"/>
        <v>0</v>
      </c>
      <c r="P27" s="2">
        <v>6</v>
      </c>
      <c r="Q27" s="2">
        <f>Таблица14[[#This Row],[ID]]</f>
        <v>52</v>
      </c>
      <c r="R27" s="2">
        <v>2</v>
      </c>
      <c r="S27" s="2">
        <f t="shared" ca="1" si="4"/>
        <v>16</v>
      </c>
    </row>
    <row r="28" spans="1:19" x14ac:dyDescent="0.25">
      <c r="A28" s="2">
        <v>54</v>
      </c>
      <c r="B28" s="2" t="str">
        <f>"MR-"&amp;Таблица14[[#This Row],[ID]]</f>
        <v>MR-54</v>
      </c>
      <c r="C28" s="2">
        <v>2</v>
      </c>
      <c r="D28" s="3" t="s">
        <v>204</v>
      </c>
      <c r="E28" s="9">
        <f ca="1">Таблица14[[#Headers],[01.май]]+RANDBETWEEN(1,3)+E27-Таблица14[[#Headers],[01.май]]</f>
        <v>43647</v>
      </c>
      <c r="F28" s="9">
        <f ca="1">Таблица14[[#This Row],[01.май]]+RANDBETWEEN(1,10)</f>
        <v>43649</v>
      </c>
      <c r="G28" s="2">
        <v>4</v>
      </c>
      <c r="H28">
        <f t="shared" ca="1" si="0"/>
        <v>3</v>
      </c>
      <c r="I28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3</v>
      </c>
      <c r="J28" s="2">
        <v>0</v>
      </c>
      <c r="K28" s="2">
        <f t="shared" ca="1" si="1"/>
        <v>6</v>
      </c>
      <c r="L28" s="2">
        <f>VLOOKUP(Таблица14[[#This Row],[Release]],Релизы!A:B,2,FALSE)</f>
        <v>2</v>
      </c>
      <c r="M28" s="2" t="s">
        <v>146</v>
      </c>
      <c r="N28" s="2">
        <v>6</v>
      </c>
      <c r="O28" s="2">
        <f t="shared" ca="1" si="3"/>
        <v>1</v>
      </c>
      <c r="P28" s="2">
        <v>6</v>
      </c>
      <c r="Q28" s="2">
        <f>Таблица14[[#This Row],[ID]]</f>
        <v>54</v>
      </c>
      <c r="R28" s="2">
        <v>2</v>
      </c>
      <c r="S28" s="2">
        <f t="shared" ca="1" si="4"/>
        <v>19</v>
      </c>
    </row>
    <row r="29" spans="1:19" x14ac:dyDescent="0.25">
      <c r="A29" s="2">
        <v>56</v>
      </c>
      <c r="B29" s="2" t="str">
        <f>"MR-"&amp;Таблица14[[#This Row],[ID]]</f>
        <v>MR-56</v>
      </c>
      <c r="C29" s="2">
        <v>5</v>
      </c>
      <c r="D29" s="3" t="s">
        <v>205</v>
      </c>
      <c r="E29" s="9">
        <f ca="1">Таблица14[[#Headers],[01.май]]+RANDBETWEEN(1,3)+E28-Таблица14[[#Headers],[01.май]]</f>
        <v>43650</v>
      </c>
      <c r="F29" s="9">
        <f ca="1">Таблица14[[#This Row],[01.май]]+RANDBETWEEN(1,10)</f>
        <v>43657</v>
      </c>
      <c r="G29" s="2">
        <v>4</v>
      </c>
      <c r="H29">
        <f t="shared" ca="1" si="0"/>
        <v>4</v>
      </c>
      <c r="I29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4</v>
      </c>
      <c r="J29" s="2">
        <v>0</v>
      </c>
      <c r="K29" s="2">
        <f t="shared" ca="1" si="1"/>
        <v>6</v>
      </c>
      <c r="L29" s="2">
        <f>VLOOKUP(Таблица14[[#This Row],[Release]],Релизы!A:B,2,FALSE)</f>
        <v>2</v>
      </c>
      <c r="M29" s="2" t="s">
        <v>146</v>
      </c>
      <c r="N29" s="2">
        <v>6</v>
      </c>
      <c r="O29" s="2">
        <f t="shared" ca="1" si="3"/>
        <v>0</v>
      </c>
      <c r="P29" s="2">
        <v>6</v>
      </c>
      <c r="Q29" s="2">
        <f>Таблица14[[#This Row],[ID]]</f>
        <v>56</v>
      </c>
      <c r="R29" s="2">
        <v>2</v>
      </c>
      <c r="S29" s="2">
        <f t="shared" ca="1" si="4"/>
        <v>17</v>
      </c>
    </row>
    <row r="30" spans="1:19" x14ac:dyDescent="0.25">
      <c r="A30" s="2">
        <v>58</v>
      </c>
      <c r="B30" s="2" t="str">
        <f>"MR-"&amp;Таблица14[[#This Row],[ID]]</f>
        <v>MR-58</v>
      </c>
      <c r="C30" s="2">
        <v>3</v>
      </c>
      <c r="D30" s="3" t="s">
        <v>206</v>
      </c>
      <c r="E30" s="9">
        <f ca="1">Таблица14[[#Headers],[01.май]]+RANDBETWEEN(1,3)+E29-Таблица14[[#Headers],[01.май]]</f>
        <v>43651</v>
      </c>
      <c r="F30" s="9">
        <f ca="1">Таблица14[[#This Row],[01.май]]+RANDBETWEEN(1,10)</f>
        <v>43661</v>
      </c>
      <c r="G30" s="2">
        <v>4</v>
      </c>
      <c r="H30">
        <f t="shared" ca="1" si="0"/>
        <v>4</v>
      </c>
      <c r="I30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4</v>
      </c>
      <c r="J30" s="2">
        <v>0</v>
      </c>
      <c r="K30" s="2">
        <f t="shared" ca="1" si="1"/>
        <v>5</v>
      </c>
      <c r="L30" s="2">
        <f>VLOOKUP(Таблица14[[#This Row],[Release]],Релизы!A:B,2,FALSE)</f>
        <v>2</v>
      </c>
      <c r="M30" s="2" t="s">
        <v>146</v>
      </c>
      <c r="N30" s="2">
        <v>6</v>
      </c>
      <c r="O30" s="2">
        <f t="shared" ca="1" si="3"/>
        <v>0</v>
      </c>
      <c r="P30" s="2">
        <v>6</v>
      </c>
      <c r="Q30" s="2">
        <f>Таблица14[[#This Row],[ID]]</f>
        <v>58</v>
      </c>
      <c r="R30" s="2">
        <v>2</v>
      </c>
      <c r="S30" s="2">
        <f t="shared" ca="1" si="4"/>
        <v>19</v>
      </c>
    </row>
    <row r="31" spans="1:19" x14ac:dyDescent="0.25">
      <c r="A31" s="2">
        <v>60</v>
      </c>
      <c r="B31" s="2" t="str">
        <f>"MR-"&amp;Таблица14[[#This Row],[ID]]</f>
        <v>MR-60</v>
      </c>
      <c r="C31" s="2">
        <v>2</v>
      </c>
      <c r="D31" s="3" t="s">
        <v>207</v>
      </c>
      <c r="E31" s="9">
        <f ca="1">Таблица14[[#Headers],[01.май]]+RANDBETWEEN(1,3)+E30-Таблица14[[#Headers],[01.май]]</f>
        <v>43654</v>
      </c>
      <c r="F31" s="9">
        <f ca="1">Таблица14[[#This Row],[01.май]]+RANDBETWEEN(1,10)</f>
        <v>43664</v>
      </c>
      <c r="G31" s="2">
        <v>4</v>
      </c>
      <c r="H31">
        <f t="shared" ca="1" si="0"/>
        <v>3</v>
      </c>
      <c r="I31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3</v>
      </c>
      <c r="J31" s="2">
        <v>0</v>
      </c>
      <c r="K31" s="2">
        <f t="shared" ca="1" si="1"/>
        <v>4</v>
      </c>
      <c r="L31" s="2">
        <f>VLOOKUP(Таблица14[[#This Row],[Release]],Релизы!A:B,2,FALSE)</f>
        <v>2</v>
      </c>
      <c r="M31" s="2" t="s">
        <v>146</v>
      </c>
      <c r="N31" s="2">
        <v>6</v>
      </c>
      <c r="O31" s="2">
        <f t="shared" ca="1" si="3"/>
        <v>0</v>
      </c>
      <c r="P31" s="2">
        <v>6</v>
      </c>
      <c r="Q31" s="2">
        <f>Таблица14[[#This Row],[ID]]</f>
        <v>60</v>
      </c>
      <c r="R31" s="2">
        <v>2</v>
      </c>
      <c r="S31" s="2">
        <f t="shared" ca="1" si="4"/>
        <v>17</v>
      </c>
    </row>
    <row r="32" spans="1:19" x14ac:dyDescent="0.25">
      <c r="A32" s="2">
        <v>62</v>
      </c>
      <c r="B32" s="2" t="str">
        <f>"MR-"&amp;Таблица14[[#This Row],[ID]]</f>
        <v>MR-62</v>
      </c>
      <c r="C32" s="2">
        <v>4</v>
      </c>
      <c r="D32" s="3" t="s">
        <v>33</v>
      </c>
      <c r="E32" s="9">
        <f ca="1">Таблица14[[#Headers],[01.май]]+RANDBETWEEN(1,3)+E31-Таблица14[[#Headers],[01.май]]</f>
        <v>43655</v>
      </c>
      <c r="F32" s="9">
        <f ca="1">Таблица14[[#This Row],[01.май]]+RANDBETWEEN(1,10)</f>
        <v>43664</v>
      </c>
      <c r="G32" s="2">
        <v>4</v>
      </c>
      <c r="H32">
        <f t="shared" ca="1" si="0"/>
        <v>7</v>
      </c>
      <c r="I32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6</v>
      </c>
      <c r="J32" s="2">
        <v>0</v>
      </c>
      <c r="K32" s="2">
        <f t="shared" ca="1" si="1"/>
        <v>6</v>
      </c>
      <c r="L32" s="2">
        <f>VLOOKUP(Таблица14[[#This Row],[Release]],Релизы!A:B,2,FALSE)</f>
        <v>2</v>
      </c>
      <c r="M32" s="2" t="s">
        <v>146</v>
      </c>
      <c r="N32" s="2">
        <v>6</v>
      </c>
      <c r="O32" s="2">
        <f t="shared" ca="1" si="3"/>
        <v>0</v>
      </c>
      <c r="P32" s="2">
        <v>6</v>
      </c>
      <c r="Q32" s="2">
        <f>Таблица14[[#This Row],[ID]]</f>
        <v>62</v>
      </c>
      <c r="R32" s="2">
        <v>2</v>
      </c>
      <c r="S32" s="2">
        <f t="shared" ca="1" si="4"/>
        <v>19</v>
      </c>
    </row>
    <row r="33" spans="1:19" x14ac:dyDescent="0.25">
      <c r="A33" s="2">
        <v>64</v>
      </c>
      <c r="B33" s="2" t="str">
        <f>"MR-"&amp;Таблица14[[#This Row],[ID]]</f>
        <v>MR-64</v>
      </c>
      <c r="C33" s="2">
        <v>3</v>
      </c>
      <c r="D33" s="3" t="s">
        <v>34</v>
      </c>
      <c r="E33" s="9">
        <f ca="1">Таблица14[[#Headers],[01.май]]+RANDBETWEEN(1,3)+E32-Таблица14[[#Headers],[01.май]]</f>
        <v>43657</v>
      </c>
      <c r="F33" s="9">
        <f ca="1">Таблица14[[#This Row],[01.май]]+RANDBETWEEN(1,10)</f>
        <v>43661</v>
      </c>
      <c r="G33" s="2">
        <v>4</v>
      </c>
      <c r="H33">
        <f t="shared" ca="1" si="0"/>
        <v>1</v>
      </c>
      <c r="I33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1</v>
      </c>
      <c r="J33" s="2">
        <v>0</v>
      </c>
      <c r="K33" s="2">
        <f t="shared" ca="1" si="1"/>
        <v>4</v>
      </c>
      <c r="L33" s="2">
        <f>VLOOKUP(Таблица14[[#This Row],[Release]],Релизы!A:B,2,FALSE)</f>
        <v>2</v>
      </c>
      <c r="M33" s="2" t="s">
        <v>146</v>
      </c>
      <c r="N33" s="2">
        <v>6</v>
      </c>
      <c r="O33" s="2">
        <f t="shared" ca="1" si="3"/>
        <v>0</v>
      </c>
      <c r="P33" s="2">
        <v>6</v>
      </c>
      <c r="Q33" s="2">
        <f>Таблица14[[#This Row],[ID]]</f>
        <v>64</v>
      </c>
      <c r="R33" s="2">
        <v>2</v>
      </c>
      <c r="S33" s="2">
        <f t="shared" ca="1" si="4"/>
        <v>17</v>
      </c>
    </row>
    <row r="34" spans="1:19" x14ac:dyDescent="0.25">
      <c r="A34" s="2">
        <v>66</v>
      </c>
      <c r="B34" s="2" t="str">
        <f>"MR-"&amp;Таблица14[[#This Row],[ID]]</f>
        <v>MR-66</v>
      </c>
      <c r="C34" s="2">
        <v>3</v>
      </c>
      <c r="D34" s="3" t="s">
        <v>35</v>
      </c>
      <c r="E34" s="9">
        <f ca="1">Таблица14[[#Headers],[01.май]]+RANDBETWEEN(1,3)+E33-Таблица14[[#Headers],[01.май]]</f>
        <v>43660</v>
      </c>
      <c r="F34" s="9">
        <f ca="1">Таблица14[[#This Row],[01.май]]+RANDBETWEEN(1,10)</f>
        <v>43663</v>
      </c>
      <c r="G34" s="2">
        <v>4</v>
      </c>
      <c r="H34">
        <f t="shared" ref="H34:H65" ca="1" si="5">RANDBETWEEN(1,10)</f>
        <v>5</v>
      </c>
      <c r="I34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5</v>
      </c>
      <c r="J34" s="2">
        <v>0</v>
      </c>
      <c r="K34" s="2">
        <f t="shared" ref="K34:K65" ca="1" si="6">RANDBETWEEN(4,6)</f>
        <v>5</v>
      </c>
      <c r="L34" s="2">
        <f>VLOOKUP(Таблица14[[#This Row],[Release]],Релизы!A:B,2,FALSE)</f>
        <v>2</v>
      </c>
      <c r="M34" s="2" t="s">
        <v>146</v>
      </c>
      <c r="N34" s="2">
        <v>7</v>
      </c>
      <c r="O34" s="2">
        <f t="shared" ca="1" si="3"/>
        <v>0</v>
      </c>
      <c r="P34" s="2">
        <v>8</v>
      </c>
      <c r="Q34" s="2">
        <f>Таблица14[[#This Row],[ID]]</f>
        <v>66</v>
      </c>
      <c r="R34" s="2">
        <v>2</v>
      </c>
      <c r="S34" s="2">
        <f t="shared" ca="1" si="4"/>
        <v>16</v>
      </c>
    </row>
    <row r="35" spans="1:19" x14ac:dyDescent="0.25">
      <c r="A35" s="2">
        <v>68</v>
      </c>
      <c r="B35" s="2" t="str">
        <f>"MR-"&amp;Таблица14[[#This Row],[ID]]</f>
        <v>MR-68</v>
      </c>
      <c r="C35" s="2">
        <v>5</v>
      </c>
      <c r="D35" s="3" t="s">
        <v>208</v>
      </c>
      <c r="E35" s="9">
        <f ca="1">Таблица14[[#Headers],[01.май]]+RANDBETWEEN(1,3)+E34-Таблица14[[#Headers],[01.май]]</f>
        <v>43663</v>
      </c>
      <c r="F35" s="9">
        <f ca="1">Таблица14[[#This Row],[01.май]]+RANDBETWEEN(1,10)</f>
        <v>43665</v>
      </c>
      <c r="G35" s="2">
        <v>4</v>
      </c>
      <c r="H35">
        <f t="shared" ca="1" si="5"/>
        <v>1</v>
      </c>
      <c r="I35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1</v>
      </c>
      <c r="J35" s="2">
        <v>0</v>
      </c>
      <c r="K35" s="2">
        <f t="shared" ca="1" si="6"/>
        <v>6</v>
      </c>
      <c r="L35" s="2">
        <f>VLOOKUP(Таблица14[[#This Row],[Release]],Релизы!A:B,2,FALSE)</f>
        <v>2</v>
      </c>
      <c r="M35" s="2" t="s">
        <v>146</v>
      </c>
      <c r="N35" s="2">
        <v>7</v>
      </c>
      <c r="O35" s="2">
        <f t="shared" ref="O35:O66" ca="1" si="7">IF(RANDBETWEEN(0,10)&gt;8,1,0)</f>
        <v>0</v>
      </c>
      <c r="P35" s="2">
        <v>8</v>
      </c>
      <c r="Q35" s="2">
        <f>Таблица14[[#This Row],[ID]]</f>
        <v>68</v>
      </c>
      <c r="R35" s="2">
        <v>2</v>
      </c>
      <c r="S35" s="2">
        <f t="shared" ca="1" si="4"/>
        <v>18</v>
      </c>
    </row>
    <row r="36" spans="1:19" x14ac:dyDescent="0.25">
      <c r="A36" s="2">
        <v>70</v>
      </c>
      <c r="B36" s="2" t="str">
        <f>"MR-"&amp;Таблица14[[#This Row],[ID]]</f>
        <v>MR-70</v>
      </c>
      <c r="C36" s="2">
        <v>2</v>
      </c>
      <c r="D36" s="3" t="s">
        <v>36</v>
      </c>
      <c r="E36" s="9">
        <f ca="1">Таблица14[[#Headers],[01.май]]+RANDBETWEEN(1,3)+E35-Таблица14[[#Headers],[01.май]]</f>
        <v>43665</v>
      </c>
      <c r="F36" s="9">
        <f ca="1">Таблица14[[#This Row],[01.май]]+RANDBETWEEN(1,10)</f>
        <v>43671</v>
      </c>
      <c r="G36" s="2">
        <v>4</v>
      </c>
      <c r="H36">
        <f t="shared" ca="1" si="5"/>
        <v>4</v>
      </c>
      <c r="I36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4</v>
      </c>
      <c r="J36" s="2">
        <v>0</v>
      </c>
      <c r="K36" s="2">
        <f t="shared" ca="1" si="6"/>
        <v>5</v>
      </c>
      <c r="L36" s="2">
        <f>VLOOKUP(Таблица14[[#This Row],[Release]],Релизы!A:B,2,FALSE)</f>
        <v>2</v>
      </c>
      <c r="M36" s="2" t="s">
        <v>146</v>
      </c>
      <c r="N36" s="2">
        <v>7</v>
      </c>
      <c r="O36" s="2">
        <f t="shared" ca="1" si="7"/>
        <v>0</v>
      </c>
      <c r="P36" s="2">
        <v>8</v>
      </c>
      <c r="Q36" s="2">
        <f>Таблица14[[#This Row],[ID]]</f>
        <v>70</v>
      </c>
      <c r="R36" s="2">
        <v>2</v>
      </c>
      <c r="S36" s="2">
        <f t="shared" ca="1" si="4"/>
        <v>18</v>
      </c>
    </row>
    <row r="37" spans="1:19" x14ac:dyDescent="0.25">
      <c r="A37" s="2">
        <v>72</v>
      </c>
      <c r="B37" s="2" t="str">
        <f>"MR-"&amp;Таблица14[[#This Row],[ID]]</f>
        <v>MR-72</v>
      </c>
      <c r="C37" s="2">
        <v>3</v>
      </c>
      <c r="D37" s="3" t="s">
        <v>37</v>
      </c>
      <c r="E37" s="9">
        <f ca="1">Таблица14[[#Headers],[01.май]]+RANDBETWEEN(1,3)+E36-Таблица14[[#Headers],[01.май]]</f>
        <v>43668</v>
      </c>
      <c r="F37" s="9">
        <f ca="1">Таблица14[[#This Row],[01.май]]+RANDBETWEEN(1,10)</f>
        <v>43678</v>
      </c>
      <c r="G37" s="2">
        <v>4</v>
      </c>
      <c r="H37">
        <f t="shared" ca="1" si="5"/>
        <v>9</v>
      </c>
      <c r="I37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8</v>
      </c>
      <c r="J37" s="2">
        <v>0</v>
      </c>
      <c r="K37" s="2">
        <f t="shared" ca="1" si="6"/>
        <v>6</v>
      </c>
      <c r="L37" s="2">
        <f>VLOOKUP(Таблица14[[#This Row],[Release]],Релизы!A:B,2,FALSE)</f>
        <v>2</v>
      </c>
      <c r="M37" s="2" t="s">
        <v>146</v>
      </c>
      <c r="N37" s="2">
        <v>7</v>
      </c>
      <c r="O37" s="2">
        <f t="shared" ca="1" si="7"/>
        <v>0</v>
      </c>
      <c r="P37" s="2">
        <v>8</v>
      </c>
      <c r="Q37" s="2">
        <f>Таблица14[[#This Row],[ID]]</f>
        <v>72</v>
      </c>
      <c r="R37" s="2">
        <v>2</v>
      </c>
      <c r="S37" s="2">
        <f t="shared" ca="1" si="4"/>
        <v>15</v>
      </c>
    </row>
    <row r="38" spans="1:19" x14ac:dyDescent="0.25">
      <c r="A38" s="2">
        <v>74</v>
      </c>
      <c r="B38" s="2" t="str">
        <f>"MR-"&amp;Таблица14[[#This Row],[ID]]</f>
        <v>MR-74</v>
      </c>
      <c r="C38" s="2">
        <v>4</v>
      </c>
      <c r="D38" s="3" t="s">
        <v>38</v>
      </c>
      <c r="E38" s="9">
        <f ca="1">Таблица14[[#Headers],[01.май]]+RANDBETWEEN(1,3)+E37-Таблица14[[#Headers],[01.май]]</f>
        <v>43671</v>
      </c>
      <c r="F38" s="9">
        <f ca="1">Таблица14[[#This Row],[01.май]]+RANDBETWEEN(1,10)</f>
        <v>43681</v>
      </c>
      <c r="G38" s="2">
        <v>4</v>
      </c>
      <c r="H38">
        <f t="shared" ca="1" si="5"/>
        <v>2</v>
      </c>
      <c r="I38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2</v>
      </c>
      <c r="J38" s="2">
        <v>0</v>
      </c>
      <c r="K38" s="2">
        <f t="shared" ca="1" si="6"/>
        <v>4</v>
      </c>
      <c r="L38" s="2">
        <f>VLOOKUP(Таблица14[[#This Row],[Release]],Релизы!A:B,2,FALSE)</f>
        <v>3</v>
      </c>
      <c r="M38" s="2" t="s">
        <v>146</v>
      </c>
      <c r="N38" s="2">
        <v>7</v>
      </c>
      <c r="O38" s="2">
        <f t="shared" ca="1" si="7"/>
        <v>1</v>
      </c>
      <c r="P38" s="2">
        <v>8</v>
      </c>
      <c r="Q38" s="2">
        <f>Таблица14[[#This Row],[ID]]</f>
        <v>74</v>
      </c>
      <c r="R38" s="2">
        <v>3</v>
      </c>
      <c r="S38" s="2">
        <f t="shared" ca="1" si="4"/>
        <v>15</v>
      </c>
    </row>
    <row r="39" spans="1:19" x14ac:dyDescent="0.25">
      <c r="A39" s="2">
        <v>76</v>
      </c>
      <c r="B39" s="2" t="str">
        <f>"MR-"&amp;Таблица14[[#This Row],[ID]]</f>
        <v>MR-76</v>
      </c>
      <c r="C39" s="2">
        <v>5</v>
      </c>
      <c r="D39" s="3" t="s">
        <v>39</v>
      </c>
      <c r="E39" s="9">
        <f ca="1">Таблица14[[#Headers],[01.май]]+RANDBETWEEN(1,3)+E38-Таблица14[[#Headers],[01.май]]</f>
        <v>43674</v>
      </c>
      <c r="F39" s="9">
        <f ca="1">Таблица14[[#This Row],[01.май]]+RANDBETWEEN(1,10)</f>
        <v>43677</v>
      </c>
      <c r="G39" s="2">
        <v>4</v>
      </c>
      <c r="H39">
        <f t="shared" ca="1" si="5"/>
        <v>5</v>
      </c>
      <c r="I39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5</v>
      </c>
      <c r="J39" s="2">
        <v>0</v>
      </c>
      <c r="K39" s="2">
        <f t="shared" ca="1" si="6"/>
        <v>4</v>
      </c>
      <c r="L39" s="2">
        <f>VLOOKUP(Таблица14[[#This Row],[Release]],Релизы!A:B,2,FALSE)</f>
        <v>3</v>
      </c>
      <c r="M39" s="2" t="s">
        <v>146</v>
      </c>
      <c r="N39" s="2">
        <v>7</v>
      </c>
      <c r="O39" s="2">
        <f t="shared" ca="1" si="7"/>
        <v>1</v>
      </c>
      <c r="P39" s="2">
        <v>8</v>
      </c>
      <c r="Q39" s="2">
        <f>Таблица14[[#This Row],[ID]]</f>
        <v>76</v>
      </c>
      <c r="R39" s="2">
        <v>3</v>
      </c>
      <c r="S39" s="2">
        <f t="shared" ca="1" si="4"/>
        <v>19</v>
      </c>
    </row>
    <row r="40" spans="1:19" x14ac:dyDescent="0.25">
      <c r="A40" s="2">
        <v>78</v>
      </c>
      <c r="B40" s="2" t="str">
        <f>"MR-"&amp;Таблица14[[#This Row],[ID]]</f>
        <v>MR-78</v>
      </c>
      <c r="C40" s="2">
        <v>2</v>
      </c>
      <c r="D40" s="3" t="s">
        <v>40</v>
      </c>
      <c r="E40" s="9">
        <f ca="1">Таблица14[[#Headers],[01.май]]+RANDBETWEEN(1,3)+E39-Таблица14[[#Headers],[01.май]]</f>
        <v>43676</v>
      </c>
      <c r="F40" s="9">
        <f ca="1">Таблица14[[#This Row],[01.май]]+RANDBETWEEN(1,10)</f>
        <v>43685</v>
      </c>
      <c r="G40" s="2">
        <v>4</v>
      </c>
      <c r="H40">
        <f t="shared" ca="1" si="5"/>
        <v>8</v>
      </c>
      <c r="I40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7</v>
      </c>
      <c r="J40" s="2">
        <v>0</v>
      </c>
      <c r="K40" s="2">
        <f t="shared" ca="1" si="6"/>
        <v>6</v>
      </c>
      <c r="L40" s="2">
        <f>VLOOKUP(Таблица14[[#This Row],[Release]],Релизы!A:B,2,FALSE)</f>
        <v>3</v>
      </c>
      <c r="M40" s="2" t="s">
        <v>146</v>
      </c>
      <c r="N40" s="2">
        <v>7</v>
      </c>
      <c r="O40" s="2">
        <f t="shared" ca="1" si="7"/>
        <v>0</v>
      </c>
      <c r="P40" s="2">
        <v>8</v>
      </c>
      <c r="Q40" s="2">
        <f>Таблица14[[#This Row],[ID]]</f>
        <v>78</v>
      </c>
      <c r="R40" s="2">
        <v>3</v>
      </c>
      <c r="S40" s="2">
        <f t="shared" ca="1" si="4"/>
        <v>17</v>
      </c>
    </row>
    <row r="41" spans="1:19" x14ac:dyDescent="0.25">
      <c r="A41" s="2">
        <v>80</v>
      </c>
      <c r="B41" s="2" t="str">
        <f>"MR-"&amp;Таблица14[[#This Row],[ID]]</f>
        <v>MR-80</v>
      </c>
      <c r="C41" s="2">
        <v>2</v>
      </c>
      <c r="D41" s="3" t="s">
        <v>209</v>
      </c>
      <c r="E41" s="9">
        <f ca="1">Таблица14[[#Headers],[01.май]]+RANDBETWEEN(1,3)+E40-Таблица14[[#Headers],[01.май]]</f>
        <v>43677</v>
      </c>
      <c r="F41" s="9">
        <f ca="1">Таблица14[[#This Row],[01.май]]+RANDBETWEEN(1,10)</f>
        <v>43680</v>
      </c>
      <c r="G41" s="2">
        <v>4</v>
      </c>
      <c r="H41">
        <f t="shared" ca="1" si="5"/>
        <v>9</v>
      </c>
      <c r="I41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8</v>
      </c>
      <c r="J41" s="2">
        <v>0</v>
      </c>
      <c r="K41" s="2">
        <f t="shared" ca="1" si="6"/>
        <v>5</v>
      </c>
      <c r="L41" s="2">
        <f>VLOOKUP(Таблица14[[#This Row],[Release]],Релизы!A:B,2,FALSE)</f>
        <v>3</v>
      </c>
      <c r="M41" s="2" t="s">
        <v>146</v>
      </c>
      <c r="N41" s="2">
        <v>7</v>
      </c>
      <c r="O41" s="2">
        <f t="shared" ca="1" si="7"/>
        <v>0</v>
      </c>
      <c r="P41" s="2">
        <v>8</v>
      </c>
      <c r="Q41" s="2">
        <f>Таблица14[[#This Row],[ID]]</f>
        <v>80</v>
      </c>
      <c r="R41" s="2">
        <v>3</v>
      </c>
      <c r="S41" s="2">
        <f t="shared" ca="1" si="4"/>
        <v>17</v>
      </c>
    </row>
    <row r="42" spans="1:19" x14ac:dyDescent="0.25">
      <c r="A42" s="2">
        <v>82</v>
      </c>
      <c r="B42" s="2" t="str">
        <f>"MR-"&amp;Таблица14[[#This Row],[ID]]</f>
        <v>MR-82</v>
      </c>
      <c r="C42" s="2">
        <v>4</v>
      </c>
      <c r="D42" s="3" t="s">
        <v>41</v>
      </c>
      <c r="E42" s="9">
        <f ca="1">Таблица14[[#Headers],[01.май]]+RANDBETWEEN(1,3)+E41-Таблица14[[#Headers],[01.май]]</f>
        <v>43678</v>
      </c>
      <c r="F42" s="9">
        <f ca="1">Таблица14[[#This Row],[01.май]]+RANDBETWEEN(1,10)</f>
        <v>43680</v>
      </c>
      <c r="G42" s="2">
        <v>4</v>
      </c>
      <c r="H42">
        <f t="shared" ca="1" si="5"/>
        <v>7</v>
      </c>
      <c r="I42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6</v>
      </c>
      <c r="J42" s="2">
        <v>0</v>
      </c>
      <c r="K42" s="2">
        <f t="shared" ca="1" si="6"/>
        <v>6</v>
      </c>
      <c r="L42" s="2">
        <f>VLOOKUP(Таблица14[[#This Row],[Release]],Релизы!A:B,2,FALSE)</f>
        <v>3</v>
      </c>
      <c r="M42" s="2" t="s">
        <v>146</v>
      </c>
      <c r="N42" s="2">
        <v>7</v>
      </c>
      <c r="O42" s="2">
        <f t="shared" ca="1" si="7"/>
        <v>0</v>
      </c>
      <c r="P42" s="2">
        <v>8</v>
      </c>
      <c r="Q42" s="2">
        <f>Таблица14[[#This Row],[ID]]</f>
        <v>82</v>
      </c>
      <c r="R42" s="2">
        <v>3</v>
      </c>
      <c r="S42" s="2">
        <f t="shared" ca="1" si="4"/>
        <v>17</v>
      </c>
    </row>
    <row r="43" spans="1:19" x14ac:dyDescent="0.25">
      <c r="A43" s="2">
        <v>84</v>
      </c>
      <c r="B43" s="2" t="str">
        <f>"MR-"&amp;Таблица14[[#This Row],[ID]]</f>
        <v>MR-84</v>
      </c>
      <c r="C43" s="2">
        <v>5</v>
      </c>
      <c r="D43" s="3" t="s">
        <v>42</v>
      </c>
      <c r="E43" s="9">
        <f ca="1">Таблица14[[#Headers],[01.май]]+RANDBETWEEN(1,3)+E42-Таблица14[[#Headers],[01.май]]</f>
        <v>43681</v>
      </c>
      <c r="F43" s="9">
        <f ca="1">Таблица14[[#This Row],[01.май]]+RANDBETWEEN(1,10)</f>
        <v>43682</v>
      </c>
      <c r="G43" s="2">
        <v>4</v>
      </c>
      <c r="H43">
        <f t="shared" ca="1" si="5"/>
        <v>3</v>
      </c>
      <c r="I43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3</v>
      </c>
      <c r="J43" s="2">
        <v>0</v>
      </c>
      <c r="K43" s="2">
        <f t="shared" ca="1" si="6"/>
        <v>5</v>
      </c>
      <c r="L43" s="2">
        <f>VLOOKUP(Таблица14[[#This Row],[Release]],Релизы!A:B,2,FALSE)</f>
        <v>3</v>
      </c>
      <c r="M43" s="2" t="s">
        <v>146</v>
      </c>
      <c r="N43" s="2">
        <v>7</v>
      </c>
      <c r="O43" s="2">
        <f t="shared" ca="1" si="7"/>
        <v>1</v>
      </c>
      <c r="P43" s="2">
        <v>8</v>
      </c>
      <c r="Q43" s="2">
        <f>Таблица14[[#This Row],[ID]]</f>
        <v>84</v>
      </c>
      <c r="R43" s="2">
        <v>3</v>
      </c>
      <c r="S43" s="2">
        <f t="shared" ca="1" si="4"/>
        <v>18</v>
      </c>
    </row>
    <row r="44" spans="1:19" x14ac:dyDescent="0.25">
      <c r="A44" s="2">
        <v>86</v>
      </c>
      <c r="B44" s="2" t="str">
        <f>"MR-"&amp;Таблица14[[#This Row],[ID]]</f>
        <v>MR-86</v>
      </c>
      <c r="C44" s="2">
        <v>1</v>
      </c>
      <c r="D44" s="3" t="s">
        <v>43</v>
      </c>
      <c r="E44" s="9">
        <f ca="1">Таблица14[[#Headers],[01.май]]+RANDBETWEEN(1,3)+E43-Таблица14[[#Headers],[01.май]]</f>
        <v>43682</v>
      </c>
      <c r="F44" s="9">
        <f ca="1">Таблица14[[#This Row],[01.май]]+RANDBETWEEN(1,10)</f>
        <v>43687</v>
      </c>
      <c r="G44" s="2">
        <v>4</v>
      </c>
      <c r="H44">
        <f t="shared" ca="1" si="5"/>
        <v>3</v>
      </c>
      <c r="I44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3</v>
      </c>
      <c r="J44" s="2">
        <v>0</v>
      </c>
      <c r="K44" s="2">
        <f t="shared" ca="1" si="6"/>
        <v>4</v>
      </c>
      <c r="L44" s="2">
        <f>VLOOKUP(Таблица14[[#This Row],[Release]],Релизы!A:B,2,FALSE)</f>
        <v>3</v>
      </c>
      <c r="M44" s="2" t="s">
        <v>146</v>
      </c>
      <c r="N44" s="2">
        <v>7</v>
      </c>
      <c r="O44" s="2">
        <f t="shared" ca="1" si="7"/>
        <v>0</v>
      </c>
      <c r="P44" s="2">
        <v>10</v>
      </c>
      <c r="Q44" s="2">
        <f>Таблица14[[#This Row],[ID]]</f>
        <v>86</v>
      </c>
      <c r="R44" s="2">
        <v>3</v>
      </c>
      <c r="S44" s="2">
        <f t="shared" ca="1" si="4"/>
        <v>18</v>
      </c>
    </row>
    <row r="45" spans="1:19" x14ac:dyDescent="0.25">
      <c r="A45" s="2">
        <v>88</v>
      </c>
      <c r="B45" s="2" t="str">
        <f>"MR-"&amp;Таблица14[[#This Row],[ID]]</f>
        <v>MR-88</v>
      </c>
      <c r="C45" s="2">
        <v>2</v>
      </c>
      <c r="D45" s="3" t="s">
        <v>44</v>
      </c>
      <c r="E45" s="9">
        <f ca="1">Таблица14[[#Headers],[01.май]]+RANDBETWEEN(1,3)+E44-Таблица14[[#Headers],[01.май]]</f>
        <v>43685</v>
      </c>
      <c r="F45" s="9">
        <f ca="1">Таблица14[[#This Row],[01.май]]+RANDBETWEEN(1,10)</f>
        <v>43695</v>
      </c>
      <c r="G45" s="2">
        <v>4</v>
      </c>
      <c r="H45">
        <f t="shared" ca="1" si="5"/>
        <v>10</v>
      </c>
      <c r="I45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9</v>
      </c>
      <c r="J45" s="2">
        <v>0</v>
      </c>
      <c r="K45" s="2">
        <f t="shared" ca="1" si="6"/>
        <v>6</v>
      </c>
      <c r="L45" s="2">
        <f>VLOOKUP(Таблица14[[#This Row],[Release]],Релизы!A:B,2,FALSE)</f>
        <v>2</v>
      </c>
      <c r="M45" s="2" t="s">
        <v>146</v>
      </c>
      <c r="N45" s="2">
        <v>7</v>
      </c>
      <c r="O45" s="2">
        <f t="shared" ca="1" si="7"/>
        <v>1</v>
      </c>
      <c r="P45" s="2">
        <v>10</v>
      </c>
      <c r="Q45" s="2">
        <f>Таблица14[[#This Row],[ID]]</f>
        <v>88</v>
      </c>
      <c r="R45" s="2">
        <v>4</v>
      </c>
      <c r="S45" s="2">
        <f t="shared" ca="1" si="4"/>
        <v>16</v>
      </c>
    </row>
    <row r="46" spans="1:19" x14ac:dyDescent="0.25">
      <c r="A46" s="2">
        <v>90</v>
      </c>
      <c r="B46" s="2" t="str">
        <f>"MR-"&amp;Таблица14[[#This Row],[ID]]</f>
        <v>MR-90</v>
      </c>
      <c r="C46" s="2">
        <v>1</v>
      </c>
      <c r="D46" s="3" t="s">
        <v>45</v>
      </c>
      <c r="E46" s="9">
        <f ca="1">Таблица14[[#Headers],[01.май]]+RANDBETWEEN(1,3)+E45-Таблица14[[#Headers],[01.май]]</f>
        <v>43687</v>
      </c>
      <c r="F46" s="9">
        <f ca="1">Таблица14[[#This Row],[01.май]]+RANDBETWEEN(1,10)</f>
        <v>43697</v>
      </c>
      <c r="G46" s="2">
        <v>4</v>
      </c>
      <c r="H46">
        <f t="shared" ca="1" si="5"/>
        <v>9</v>
      </c>
      <c r="I46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8</v>
      </c>
      <c r="J46" s="2">
        <v>0</v>
      </c>
      <c r="K46" s="2">
        <f t="shared" ca="1" si="6"/>
        <v>5</v>
      </c>
      <c r="L46" s="2">
        <f>VLOOKUP(Таблица14[[#This Row],[Release]],Релизы!A:B,2,FALSE)</f>
        <v>2</v>
      </c>
      <c r="M46" s="2" t="s">
        <v>146</v>
      </c>
      <c r="N46" s="2">
        <v>7</v>
      </c>
      <c r="O46" s="2">
        <f t="shared" ca="1" si="7"/>
        <v>1</v>
      </c>
      <c r="P46" s="2">
        <v>10</v>
      </c>
      <c r="Q46" s="2">
        <f>Таблица14[[#This Row],[ID]]</f>
        <v>90</v>
      </c>
      <c r="R46" s="2">
        <v>4</v>
      </c>
      <c r="S46" s="2">
        <f t="shared" ca="1" si="4"/>
        <v>16</v>
      </c>
    </row>
    <row r="47" spans="1:19" x14ac:dyDescent="0.25">
      <c r="A47" s="2">
        <v>92</v>
      </c>
      <c r="B47" s="2" t="str">
        <f>"MR-"&amp;Таблица14[[#This Row],[ID]]</f>
        <v>MR-92</v>
      </c>
      <c r="C47" s="2">
        <v>2</v>
      </c>
      <c r="D47" s="3" t="s">
        <v>46</v>
      </c>
      <c r="E47" s="9">
        <f ca="1">Таблица14[[#Headers],[01.май]]+RANDBETWEEN(1,3)+E46-Таблица14[[#Headers],[01.май]]</f>
        <v>43690</v>
      </c>
      <c r="F47" s="9">
        <f ca="1">Таблица14[[#This Row],[01.май]]+RANDBETWEEN(1,10)</f>
        <v>43697</v>
      </c>
      <c r="G47" s="2">
        <v>4</v>
      </c>
      <c r="H47">
        <f t="shared" ca="1" si="5"/>
        <v>3</v>
      </c>
      <c r="I47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3</v>
      </c>
      <c r="J47" s="2">
        <v>0</v>
      </c>
      <c r="K47" s="2">
        <f t="shared" ca="1" si="6"/>
        <v>4</v>
      </c>
      <c r="L47" s="2">
        <f>VLOOKUP(Таблица14[[#This Row],[Release]],Релизы!A:B,2,FALSE)</f>
        <v>2</v>
      </c>
      <c r="M47" s="2" t="s">
        <v>146</v>
      </c>
      <c r="N47" s="2">
        <v>7</v>
      </c>
      <c r="O47" s="2">
        <f t="shared" ca="1" si="7"/>
        <v>0</v>
      </c>
      <c r="P47" s="2">
        <v>10</v>
      </c>
      <c r="Q47" s="2">
        <f>Таблица14[[#This Row],[ID]]</f>
        <v>92</v>
      </c>
      <c r="R47" s="2">
        <v>4</v>
      </c>
      <c r="S47" s="2">
        <f t="shared" ca="1" si="4"/>
        <v>16</v>
      </c>
    </row>
    <row r="48" spans="1:19" x14ac:dyDescent="0.25">
      <c r="A48" s="2">
        <v>94</v>
      </c>
      <c r="B48" s="2" t="str">
        <f>"MR-"&amp;Таблица14[[#This Row],[ID]]</f>
        <v>MR-94</v>
      </c>
      <c r="C48" s="2">
        <v>2</v>
      </c>
      <c r="D48" s="3" t="s">
        <v>47</v>
      </c>
      <c r="E48" s="9">
        <f ca="1">Таблица14[[#Headers],[01.май]]+RANDBETWEEN(1,3)+E47-Таблица14[[#Headers],[01.май]]</f>
        <v>43693</v>
      </c>
      <c r="F48" s="9">
        <f ca="1">Таблица14[[#This Row],[01.май]]+RANDBETWEEN(1,10)</f>
        <v>43701</v>
      </c>
      <c r="G48" s="2">
        <v>4</v>
      </c>
      <c r="H48">
        <f t="shared" ca="1" si="5"/>
        <v>1</v>
      </c>
      <c r="I48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1</v>
      </c>
      <c r="J48" s="2">
        <v>0</v>
      </c>
      <c r="K48" s="2">
        <f t="shared" ca="1" si="6"/>
        <v>5</v>
      </c>
      <c r="L48" s="2">
        <f>VLOOKUP(Таблица14[[#This Row],[Release]],Релизы!A:B,2,FALSE)</f>
        <v>2</v>
      </c>
      <c r="M48" s="2" t="s">
        <v>146</v>
      </c>
      <c r="N48" s="2">
        <v>7</v>
      </c>
      <c r="O48" s="2">
        <f t="shared" ca="1" si="7"/>
        <v>0</v>
      </c>
      <c r="P48" s="2">
        <v>10</v>
      </c>
      <c r="Q48" s="2">
        <f>Таблица14[[#This Row],[ID]]</f>
        <v>94</v>
      </c>
      <c r="R48" s="2">
        <v>4</v>
      </c>
      <c r="S48" s="2">
        <f t="shared" ca="1" si="4"/>
        <v>17</v>
      </c>
    </row>
    <row r="49" spans="1:19" x14ac:dyDescent="0.25">
      <c r="A49" s="2">
        <v>96</v>
      </c>
      <c r="B49" s="2" t="str">
        <f>"MR-"&amp;Таблица14[[#This Row],[ID]]</f>
        <v>MR-96</v>
      </c>
      <c r="C49" s="2">
        <v>3</v>
      </c>
      <c r="D49" s="3" t="s">
        <v>48</v>
      </c>
      <c r="E49" s="9">
        <f ca="1">Таблица14[[#Headers],[01.май]]+RANDBETWEEN(1,3)+E48-Таблица14[[#Headers],[01.май]]</f>
        <v>43696</v>
      </c>
      <c r="F49" s="9">
        <f ca="1">Таблица14[[#This Row],[01.май]]+RANDBETWEEN(1,10)</f>
        <v>43699</v>
      </c>
      <c r="G49" s="2">
        <v>4</v>
      </c>
      <c r="H49">
        <f t="shared" ca="1" si="5"/>
        <v>9</v>
      </c>
      <c r="I49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8</v>
      </c>
      <c r="J49" s="2">
        <v>0</v>
      </c>
      <c r="K49" s="2">
        <f t="shared" ca="1" si="6"/>
        <v>6</v>
      </c>
      <c r="L49" s="2">
        <f>VLOOKUP(Таблица14[[#This Row],[Release]],Релизы!A:B,2,FALSE)</f>
        <v>2</v>
      </c>
      <c r="M49" s="2" t="s">
        <v>146</v>
      </c>
      <c r="N49" s="2">
        <v>7</v>
      </c>
      <c r="O49" s="2">
        <f t="shared" ca="1" si="7"/>
        <v>0</v>
      </c>
      <c r="P49" s="2">
        <v>10</v>
      </c>
      <c r="Q49" s="2">
        <f>Таблица14[[#This Row],[ID]]</f>
        <v>96</v>
      </c>
      <c r="R49" s="2">
        <v>4</v>
      </c>
      <c r="S49" s="2">
        <f t="shared" ca="1" si="4"/>
        <v>18</v>
      </c>
    </row>
    <row r="50" spans="1:19" x14ac:dyDescent="0.25">
      <c r="A50" s="2">
        <v>98</v>
      </c>
      <c r="B50" s="2" t="str">
        <f>"MR-"&amp;Таблица14[[#This Row],[ID]]</f>
        <v>MR-98</v>
      </c>
      <c r="C50" s="2">
        <v>3</v>
      </c>
      <c r="D50" s="3" t="s">
        <v>210</v>
      </c>
      <c r="E50" s="9">
        <f ca="1">Таблица14[[#Headers],[01.май]]+RANDBETWEEN(1,3)+E49-Таблица14[[#Headers],[01.май]]</f>
        <v>43698</v>
      </c>
      <c r="F50" s="9">
        <f ca="1">Таблица14[[#This Row],[01.май]]+RANDBETWEEN(1,10)</f>
        <v>43708</v>
      </c>
      <c r="G50" s="2">
        <v>4</v>
      </c>
      <c r="H50">
        <f t="shared" ca="1" si="5"/>
        <v>3</v>
      </c>
      <c r="I50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3</v>
      </c>
      <c r="J50" s="2">
        <v>0</v>
      </c>
      <c r="K50" s="2">
        <f t="shared" ca="1" si="6"/>
        <v>5</v>
      </c>
      <c r="L50" s="2">
        <f>VLOOKUP(Таблица14[[#This Row],[Release]],Релизы!A:B,2,FALSE)</f>
        <v>2</v>
      </c>
      <c r="M50" s="2" t="s">
        <v>146</v>
      </c>
      <c r="N50" s="2">
        <v>7</v>
      </c>
      <c r="O50" s="2">
        <f t="shared" ca="1" si="7"/>
        <v>0</v>
      </c>
      <c r="P50" s="2">
        <v>10</v>
      </c>
      <c r="Q50" s="2">
        <f>Таблица14[[#This Row],[ID]]</f>
        <v>98</v>
      </c>
      <c r="R50" s="2">
        <v>4</v>
      </c>
      <c r="S50" s="2">
        <f t="shared" ca="1" si="4"/>
        <v>15</v>
      </c>
    </row>
    <row r="51" spans="1:19" x14ac:dyDescent="0.25">
      <c r="A51" s="2">
        <v>100</v>
      </c>
      <c r="B51" s="2" t="str">
        <f>"MR-"&amp;Таблица14[[#This Row],[ID]]</f>
        <v>MR-100</v>
      </c>
      <c r="C51" s="2">
        <v>5</v>
      </c>
      <c r="D51" s="3" t="s">
        <v>49</v>
      </c>
      <c r="E51" s="9">
        <f ca="1">Таблица14[[#Headers],[01.май]]+RANDBETWEEN(1,3)+E50-Таблица14[[#Headers],[01.май]]</f>
        <v>43701</v>
      </c>
      <c r="F51" s="9">
        <f ca="1">Таблица14[[#This Row],[01.май]]+RANDBETWEEN(1,10)</f>
        <v>43704</v>
      </c>
      <c r="G51" s="2">
        <v>4</v>
      </c>
      <c r="H51">
        <f t="shared" ca="1" si="5"/>
        <v>9</v>
      </c>
      <c r="I51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8</v>
      </c>
      <c r="J51" s="2">
        <v>0</v>
      </c>
      <c r="K51" s="2">
        <f t="shared" ca="1" si="6"/>
        <v>6</v>
      </c>
      <c r="L51" s="2">
        <f>VLOOKUP(Таблица14[[#This Row],[Release]],Релизы!A:B,2,FALSE)</f>
        <v>2</v>
      </c>
      <c r="M51" s="2" t="s">
        <v>146</v>
      </c>
      <c r="N51" s="2">
        <v>7</v>
      </c>
      <c r="O51" s="2">
        <f t="shared" ca="1" si="7"/>
        <v>0</v>
      </c>
      <c r="P51" s="2">
        <v>10</v>
      </c>
      <c r="Q51" s="2">
        <f>Таблица14[[#This Row],[ID]]</f>
        <v>100</v>
      </c>
      <c r="R51" s="2">
        <v>4</v>
      </c>
      <c r="S51" s="2">
        <f t="shared" ca="1" si="4"/>
        <v>17</v>
      </c>
    </row>
    <row r="52" spans="1:19" x14ac:dyDescent="0.25">
      <c r="A52" s="2">
        <v>102</v>
      </c>
      <c r="B52" s="2" t="str">
        <f>"MR-"&amp;Таблица14[[#This Row],[ID]]</f>
        <v>MR-102</v>
      </c>
      <c r="C52" s="2">
        <v>5</v>
      </c>
      <c r="D52" s="3" t="s">
        <v>211</v>
      </c>
      <c r="E52" s="9">
        <f ca="1">Таблица14[[#Headers],[01.май]]+RANDBETWEEN(1,3)+E51-Таблица14[[#Headers],[01.май]]</f>
        <v>43703</v>
      </c>
      <c r="F52" s="9">
        <f ca="1">Таблица14[[#This Row],[01.май]]+RANDBETWEEN(1,10)</f>
        <v>43707</v>
      </c>
      <c r="G52" s="2">
        <v>4</v>
      </c>
      <c r="H52">
        <f t="shared" ca="1" si="5"/>
        <v>8</v>
      </c>
      <c r="I52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7</v>
      </c>
      <c r="J52" s="2">
        <v>0</v>
      </c>
      <c r="K52" s="2">
        <f t="shared" ca="1" si="6"/>
        <v>5</v>
      </c>
      <c r="L52" s="2">
        <f>VLOOKUP(Таблица14[[#This Row],[Release]],Релизы!A:B,2,FALSE)</f>
        <v>2</v>
      </c>
      <c r="M52" s="2" t="s">
        <v>146</v>
      </c>
      <c r="N52" s="2">
        <v>8</v>
      </c>
      <c r="O52" s="2">
        <f t="shared" ca="1" si="7"/>
        <v>0</v>
      </c>
      <c r="P52" s="2">
        <v>10</v>
      </c>
      <c r="Q52" s="2">
        <f>Таблица14[[#This Row],[ID]]</f>
        <v>102</v>
      </c>
      <c r="R52" s="2">
        <v>4</v>
      </c>
      <c r="S52" s="2">
        <f t="shared" ref="S52:S83" ca="1" si="8">RANDBETWEEN(18,22)</f>
        <v>21</v>
      </c>
    </row>
    <row r="53" spans="1:19" x14ac:dyDescent="0.25">
      <c r="A53" s="2">
        <v>104</v>
      </c>
      <c r="B53" s="2" t="str">
        <f>"MR-"&amp;Таблица14[[#This Row],[ID]]</f>
        <v>MR-104</v>
      </c>
      <c r="C53" s="2">
        <v>3</v>
      </c>
      <c r="D53" s="3" t="s">
        <v>50</v>
      </c>
      <c r="E53" s="9">
        <f ca="1">Таблица14[[#Headers],[01.май]]+RANDBETWEEN(1,3)+E52-Таблица14[[#Headers],[01.май]]</f>
        <v>43705</v>
      </c>
      <c r="F53" s="9">
        <f ca="1">Таблица14[[#This Row],[01.май]]+RANDBETWEEN(1,10)</f>
        <v>43706</v>
      </c>
      <c r="G53" s="2">
        <v>4</v>
      </c>
      <c r="H53">
        <f t="shared" ca="1" si="5"/>
        <v>5</v>
      </c>
      <c r="I53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5</v>
      </c>
      <c r="J53" s="2">
        <v>0</v>
      </c>
      <c r="K53" s="2">
        <f t="shared" ca="1" si="6"/>
        <v>5</v>
      </c>
      <c r="L53" s="2">
        <f>VLOOKUP(Таблица14[[#This Row],[Release]],Релизы!A:B,2,FALSE)</f>
        <v>2</v>
      </c>
      <c r="M53" s="2" t="s">
        <v>146</v>
      </c>
      <c r="N53" s="2">
        <v>8</v>
      </c>
      <c r="O53" s="2">
        <f t="shared" ca="1" si="7"/>
        <v>1</v>
      </c>
      <c r="P53" s="2">
        <v>10</v>
      </c>
      <c r="Q53" s="2">
        <f>Таблица14[[#This Row],[ID]]</f>
        <v>104</v>
      </c>
      <c r="R53" s="2">
        <v>4</v>
      </c>
      <c r="S53" s="2">
        <f t="shared" ca="1" si="8"/>
        <v>21</v>
      </c>
    </row>
    <row r="54" spans="1:19" x14ac:dyDescent="0.25">
      <c r="A54" s="2">
        <v>106</v>
      </c>
      <c r="B54" s="2" t="str">
        <f>"MR-"&amp;Таблица14[[#This Row],[ID]]</f>
        <v>MR-106</v>
      </c>
      <c r="C54" s="2">
        <v>1</v>
      </c>
      <c r="D54" s="3" t="s">
        <v>212</v>
      </c>
      <c r="E54" s="9">
        <f ca="1">Таблица14[[#Headers],[01.май]]+RANDBETWEEN(1,3)+E53-Таблица14[[#Headers],[01.май]]</f>
        <v>43708</v>
      </c>
      <c r="F54" s="9">
        <f ca="1">Таблица14[[#This Row],[01.май]]+RANDBETWEEN(1,10)</f>
        <v>43712</v>
      </c>
      <c r="G54" s="2">
        <v>4</v>
      </c>
      <c r="H54">
        <f t="shared" ca="1" si="5"/>
        <v>5</v>
      </c>
      <c r="I54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5</v>
      </c>
      <c r="J54" s="2">
        <v>0</v>
      </c>
      <c r="K54" s="2">
        <f t="shared" ca="1" si="6"/>
        <v>6</v>
      </c>
      <c r="L54" s="2">
        <f>VLOOKUP(Таблица14[[#This Row],[Release]],Релизы!A:B,2,FALSE)</f>
        <v>2</v>
      </c>
      <c r="M54" s="2" t="s">
        <v>146</v>
      </c>
      <c r="N54" s="2">
        <v>8</v>
      </c>
      <c r="O54" s="2">
        <f t="shared" ca="1" si="7"/>
        <v>0</v>
      </c>
      <c r="P54" s="2">
        <v>10</v>
      </c>
      <c r="Q54" s="2">
        <f>Таблица14[[#This Row],[ID]]</f>
        <v>106</v>
      </c>
      <c r="R54" s="2">
        <v>4</v>
      </c>
      <c r="S54" s="2">
        <f t="shared" ca="1" si="8"/>
        <v>18</v>
      </c>
    </row>
    <row r="55" spans="1:19" x14ac:dyDescent="0.25">
      <c r="A55" s="2">
        <v>108</v>
      </c>
      <c r="B55" s="2" t="str">
        <f>"MR-"&amp;Таблица14[[#This Row],[ID]]</f>
        <v>MR-108</v>
      </c>
      <c r="C55" s="2">
        <v>5</v>
      </c>
      <c r="D55" s="3" t="s">
        <v>51</v>
      </c>
      <c r="E55" s="9">
        <f ca="1">Таблица14[[#Headers],[01.май]]+RANDBETWEEN(1,3)+E54-Таблица14[[#Headers],[01.май]]</f>
        <v>43710</v>
      </c>
      <c r="F55" s="9">
        <f ca="1">Таблица14[[#This Row],[01.май]]+RANDBETWEEN(1,10)</f>
        <v>43711</v>
      </c>
      <c r="G55" s="2">
        <v>4</v>
      </c>
      <c r="H55">
        <f t="shared" ca="1" si="5"/>
        <v>2</v>
      </c>
      <c r="I55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2</v>
      </c>
      <c r="J55" s="2">
        <v>0</v>
      </c>
      <c r="K55" s="2">
        <f t="shared" ca="1" si="6"/>
        <v>4</v>
      </c>
      <c r="L55" s="2">
        <f>VLOOKUP(Таблица14[[#This Row],[Release]],Релизы!A:B,2,FALSE)</f>
        <v>2</v>
      </c>
      <c r="M55" s="2" t="s">
        <v>146</v>
      </c>
      <c r="N55" s="2">
        <v>8</v>
      </c>
      <c r="O55" s="2">
        <f t="shared" ca="1" si="7"/>
        <v>0</v>
      </c>
      <c r="P55" s="2">
        <v>10</v>
      </c>
      <c r="Q55" s="2">
        <f>Таблица14[[#This Row],[ID]]</f>
        <v>108</v>
      </c>
      <c r="R55" s="2">
        <v>4</v>
      </c>
      <c r="S55" s="2">
        <f t="shared" ca="1" si="8"/>
        <v>18</v>
      </c>
    </row>
    <row r="56" spans="1:19" x14ac:dyDescent="0.25">
      <c r="A56" s="2">
        <v>110</v>
      </c>
      <c r="B56" s="2" t="str">
        <f>"MR-"&amp;Таблица14[[#This Row],[ID]]</f>
        <v>MR-110</v>
      </c>
      <c r="C56" s="2">
        <v>3</v>
      </c>
      <c r="D56" s="3" t="s">
        <v>52</v>
      </c>
      <c r="E56" s="9">
        <f ca="1">Таблица14[[#Headers],[01.май]]+RANDBETWEEN(1,3)+E55-Таблица14[[#Headers],[01.май]]</f>
        <v>43712</v>
      </c>
      <c r="F56" s="9">
        <f ca="1">Таблица14[[#This Row],[01.май]]+RANDBETWEEN(1,10)</f>
        <v>43718</v>
      </c>
      <c r="G56" s="2">
        <v>4</v>
      </c>
      <c r="H56">
        <f t="shared" ca="1" si="5"/>
        <v>5</v>
      </c>
      <c r="I56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5</v>
      </c>
      <c r="J56" s="2">
        <v>0</v>
      </c>
      <c r="K56" s="2">
        <f t="shared" ca="1" si="6"/>
        <v>4</v>
      </c>
      <c r="L56" s="2">
        <f>VLOOKUP(Таблица14[[#This Row],[Release]],Релизы!A:B,2,FALSE)</f>
        <v>2</v>
      </c>
      <c r="M56" s="2" t="s">
        <v>146</v>
      </c>
      <c r="N56" s="2">
        <v>8</v>
      </c>
      <c r="O56" s="2">
        <f t="shared" ca="1" si="7"/>
        <v>0</v>
      </c>
      <c r="P56" s="2">
        <v>10</v>
      </c>
      <c r="Q56" s="2">
        <f>Таблица14[[#This Row],[ID]]</f>
        <v>110</v>
      </c>
      <c r="R56" s="2">
        <v>4</v>
      </c>
      <c r="S56" s="2">
        <f t="shared" ca="1" si="8"/>
        <v>18</v>
      </c>
    </row>
    <row r="57" spans="1:19" x14ac:dyDescent="0.25">
      <c r="A57" s="2">
        <v>112</v>
      </c>
      <c r="B57" s="2" t="str">
        <f>"MR-"&amp;Таблица14[[#This Row],[ID]]</f>
        <v>MR-112</v>
      </c>
      <c r="C57" s="2">
        <v>4</v>
      </c>
      <c r="D57" s="3" t="s">
        <v>213</v>
      </c>
      <c r="E57" s="9">
        <f ca="1">Таблица14[[#Headers],[01.май]]+RANDBETWEEN(1,3)+E56-Таблица14[[#Headers],[01.май]]</f>
        <v>43714</v>
      </c>
      <c r="F57" s="9">
        <f ca="1">Таблица14[[#This Row],[01.май]]+RANDBETWEEN(1,10)</f>
        <v>43715</v>
      </c>
      <c r="G57" s="2">
        <v>4</v>
      </c>
      <c r="H57">
        <f t="shared" ca="1" si="5"/>
        <v>1</v>
      </c>
      <c r="I57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1</v>
      </c>
      <c r="J57" s="2">
        <v>0</v>
      </c>
      <c r="K57" s="2">
        <f t="shared" ca="1" si="6"/>
        <v>6</v>
      </c>
      <c r="L57" s="2">
        <f>VLOOKUP(Таблица14[[#This Row],[Release]],Релизы!A:B,2,FALSE)</f>
        <v>2</v>
      </c>
      <c r="M57" s="2" t="s">
        <v>146</v>
      </c>
      <c r="N57" s="2">
        <v>8</v>
      </c>
      <c r="O57" s="2">
        <f t="shared" ca="1" si="7"/>
        <v>0</v>
      </c>
      <c r="P57" s="2">
        <v>10</v>
      </c>
      <c r="Q57" s="2">
        <f>Таблица14[[#This Row],[ID]]</f>
        <v>112</v>
      </c>
      <c r="R57" s="2">
        <v>4</v>
      </c>
      <c r="S57" s="2">
        <f t="shared" ca="1" si="8"/>
        <v>22</v>
      </c>
    </row>
    <row r="58" spans="1:19" x14ac:dyDescent="0.25">
      <c r="A58" s="2">
        <v>114</v>
      </c>
      <c r="B58" s="2" t="str">
        <f>"MR-"&amp;Таблица14[[#This Row],[ID]]</f>
        <v>MR-114</v>
      </c>
      <c r="C58" s="2">
        <v>4</v>
      </c>
      <c r="D58" s="3" t="s">
        <v>214</v>
      </c>
      <c r="E58" s="9">
        <f ca="1">Таблица14[[#Headers],[01.май]]+RANDBETWEEN(1,3)+E57-Таблица14[[#Headers],[01.май]]</f>
        <v>43715</v>
      </c>
      <c r="F58" s="9">
        <f ca="1">Таблица14[[#This Row],[01.май]]+RANDBETWEEN(1,10)</f>
        <v>43723</v>
      </c>
      <c r="G58" s="2">
        <v>4</v>
      </c>
      <c r="H58">
        <f t="shared" ca="1" si="5"/>
        <v>10</v>
      </c>
      <c r="I58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9</v>
      </c>
      <c r="J58" s="2">
        <v>0</v>
      </c>
      <c r="K58" s="2">
        <f t="shared" ca="1" si="6"/>
        <v>5</v>
      </c>
      <c r="L58" s="2">
        <f>VLOOKUP(Таблица14[[#This Row],[Release]],Релизы!A:B,2,FALSE)</f>
        <v>2</v>
      </c>
      <c r="M58" s="2" t="s">
        <v>146</v>
      </c>
      <c r="N58" s="2">
        <v>8</v>
      </c>
      <c r="O58" s="2">
        <f t="shared" ca="1" si="7"/>
        <v>0</v>
      </c>
      <c r="P58" s="2">
        <v>10</v>
      </c>
      <c r="Q58" s="2">
        <f>Таблица14[[#This Row],[ID]]</f>
        <v>114</v>
      </c>
      <c r="R58" s="2">
        <v>4</v>
      </c>
      <c r="S58" s="2">
        <f t="shared" ca="1" si="8"/>
        <v>22</v>
      </c>
    </row>
    <row r="59" spans="1:19" x14ac:dyDescent="0.25">
      <c r="A59" s="2">
        <v>116</v>
      </c>
      <c r="B59" s="2" t="str">
        <f>"MR-"&amp;Таблица14[[#This Row],[ID]]</f>
        <v>MR-116</v>
      </c>
      <c r="C59" s="2">
        <v>5</v>
      </c>
      <c r="D59" s="3" t="s">
        <v>53</v>
      </c>
      <c r="E59" s="9">
        <f ca="1">Таблица14[[#Headers],[01.май]]+RANDBETWEEN(1,3)+E58-Таблица14[[#Headers],[01.май]]</f>
        <v>43718</v>
      </c>
      <c r="F59" s="9">
        <f ca="1">Таблица14[[#This Row],[01.май]]+RANDBETWEEN(1,10)</f>
        <v>43723</v>
      </c>
      <c r="G59" s="2">
        <v>4</v>
      </c>
      <c r="H59">
        <f t="shared" ca="1" si="5"/>
        <v>4</v>
      </c>
      <c r="I59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4</v>
      </c>
      <c r="J59" s="2">
        <v>0</v>
      </c>
      <c r="K59" s="2">
        <f t="shared" ca="1" si="6"/>
        <v>4</v>
      </c>
      <c r="L59" s="2">
        <f>VLOOKUP(Таблица14[[#This Row],[Release]],Релизы!A:B,2,FALSE)</f>
        <v>2</v>
      </c>
      <c r="M59" s="2" t="s">
        <v>146</v>
      </c>
      <c r="N59" s="2">
        <v>8</v>
      </c>
      <c r="O59" s="2">
        <f t="shared" ca="1" si="7"/>
        <v>0</v>
      </c>
      <c r="P59" s="2">
        <v>10</v>
      </c>
      <c r="Q59" s="2">
        <f>Таблица14[[#This Row],[ID]]</f>
        <v>116</v>
      </c>
      <c r="R59" s="2">
        <v>4</v>
      </c>
      <c r="S59" s="2">
        <f t="shared" ca="1" si="8"/>
        <v>21</v>
      </c>
    </row>
    <row r="60" spans="1:19" x14ac:dyDescent="0.25">
      <c r="A60" s="2">
        <v>118</v>
      </c>
      <c r="B60" s="2" t="str">
        <f>"MR-"&amp;Таблица14[[#This Row],[ID]]</f>
        <v>MR-118</v>
      </c>
      <c r="C60" s="2">
        <v>3</v>
      </c>
      <c r="D60" s="3" t="s">
        <v>54</v>
      </c>
      <c r="E60" s="9">
        <f ca="1">Таблица14[[#Headers],[01.май]]+RANDBETWEEN(1,3)+E59-Таблица14[[#Headers],[01.май]]</f>
        <v>43721</v>
      </c>
      <c r="F60" s="9">
        <f ca="1">Таблица14[[#This Row],[01.май]]+RANDBETWEEN(1,10)</f>
        <v>43723</v>
      </c>
      <c r="G60" s="2">
        <v>4</v>
      </c>
      <c r="H60">
        <f t="shared" ca="1" si="5"/>
        <v>5</v>
      </c>
      <c r="I60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5</v>
      </c>
      <c r="J60" s="2">
        <v>0</v>
      </c>
      <c r="K60" s="2">
        <f t="shared" ca="1" si="6"/>
        <v>5</v>
      </c>
      <c r="L60" s="2">
        <f>VLOOKUP(Таблица14[[#This Row],[Release]],Релизы!A:B,2,FALSE)</f>
        <v>3</v>
      </c>
      <c r="M60" s="2" t="s">
        <v>146</v>
      </c>
      <c r="N60" s="2">
        <v>8</v>
      </c>
      <c r="O60" s="2">
        <f t="shared" ca="1" si="7"/>
        <v>0</v>
      </c>
      <c r="P60" s="2">
        <v>12</v>
      </c>
      <c r="Q60" s="2">
        <f>Таблица14[[#This Row],[ID]]</f>
        <v>118</v>
      </c>
      <c r="R60" s="2">
        <v>5</v>
      </c>
      <c r="S60" s="2">
        <f t="shared" ca="1" si="8"/>
        <v>19</v>
      </c>
    </row>
    <row r="61" spans="1:19" x14ac:dyDescent="0.25">
      <c r="A61" s="2">
        <v>120</v>
      </c>
      <c r="B61" s="2" t="str">
        <f>"MR-"&amp;Таблица14[[#This Row],[ID]]</f>
        <v>MR-120</v>
      </c>
      <c r="C61" s="2">
        <v>1</v>
      </c>
      <c r="D61" s="3" t="s">
        <v>55</v>
      </c>
      <c r="E61" s="9">
        <f ca="1">Таблица14[[#Headers],[01.май]]+RANDBETWEEN(1,3)+E60-Таблица14[[#Headers],[01.май]]</f>
        <v>43723</v>
      </c>
      <c r="F61" s="9">
        <f ca="1">Таблица14[[#This Row],[01.май]]+RANDBETWEEN(1,10)</f>
        <v>43726</v>
      </c>
      <c r="G61" s="2">
        <v>4</v>
      </c>
      <c r="H61">
        <f t="shared" ca="1" si="5"/>
        <v>1</v>
      </c>
      <c r="I61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1</v>
      </c>
      <c r="J61" s="2">
        <v>0</v>
      </c>
      <c r="K61" s="2">
        <f t="shared" ca="1" si="6"/>
        <v>5</v>
      </c>
      <c r="L61" s="2">
        <f>VLOOKUP(Таблица14[[#This Row],[Release]],Релизы!A:B,2,FALSE)</f>
        <v>3</v>
      </c>
      <c r="M61" s="2" t="s">
        <v>146</v>
      </c>
      <c r="N61" s="2">
        <v>8</v>
      </c>
      <c r="O61" s="2">
        <f t="shared" ca="1" si="7"/>
        <v>1</v>
      </c>
      <c r="P61" s="2">
        <v>12</v>
      </c>
      <c r="Q61" s="2">
        <f>Таблица14[[#This Row],[ID]]</f>
        <v>120</v>
      </c>
      <c r="R61" s="2">
        <v>5</v>
      </c>
      <c r="S61" s="2">
        <f t="shared" ca="1" si="8"/>
        <v>18</v>
      </c>
    </row>
    <row r="62" spans="1:19" x14ac:dyDescent="0.25">
      <c r="A62" s="2">
        <v>122</v>
      </c>
      <c r="B62" s="2" t="str">
        <f>"MR-"&amp;Таблица14[[#This Row],[ID]]</f>
        <v>MR-122</v>
      </c>
      <c r="C62" s="2">
        <v>3</v>
      </c>
      <c r="D62" s="3" t="s">
        <v>56</v>
      </c>
      <c r="E62" s="9">
        <f ca="1">Таблица14[[#Headers],[01.май]]+RANDBETWEEN(1,3)+E61-Таблица14[[#Headers],[01.май]]</f>
        <v>43726</v>
      </c>
      <c r="F62" s="9">
        <f ca="1">Таблица14[[#This Row],[01.май]]+RANDBETWEEN(1,10)</f>
        <v>43731</v>
      </c>
      <c r="G62" s="2">
        <v>4</v>
      </c>
      <c r="H62">
        <f t="shared" ca="1" si="5"/>
        <v>8</v>
      </c>
      <c r="I62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7</v>
      </c>
      <c r="J62" s="2">
        <v>0</v>
      </c>
      <c r="K62" s="2">
        <f t="shared" ca="1" si="6"/>
        <v>6</v>
      </c>
      <c r="L62" s="2">
        <f>VLOOKUP(Таблица14[[#This Row],[Release]],Релизы!A:B,2,FALSE)</f>
        <v>3</v>
      </c>
      <c r="M62" s="2" t="s">
        <v>146</v>
      </c>
      <c r="N62" s="2">
        <v>8</v>
      </c>
      <c r="O62" s="2">
        <f t="shared" ca="1" si="7"/>
        <v>0</v>
      </c>
      <c r="P62" s="2">
        <v>12</v>
      </c>
      <c r="Q62" s="2">
        <f>Таблица14[[#This Row],[ID]]</f>
        <v>122</v>
      </c>
      <c r="R62" s="2">
        <v>5</v>
      </c>
      <c r="S62" s="2">
        <f t="shared" ca="1" si="8"/>
        <v>18</v>
      </c>
    </row>
    <row r="63" spans="1:19" x14ac:dyDescent="0.25">
      <c r="A63" s="2">
        <v>124</v>
      </c>
      <c r="B63" s="2" t="str">
        <f>"MR-"&amp;Таблица14[[#This Row],[ID]]</f>
        <v>MR-124</v>
      </c>
      <c r="C63" s="2">
        <v>3</v>
      </c>
      <c r="D63" s="3" t="s">
        <v>57</v>
      </c>
      <c r="E63" s="9">
        <f ca="1">Таблица14[[#Headers],[01.май]]+RANDBETWEEN(1,3)+E62-Таблица14[[#Headers],[01.май]]</f>
        <v>43729</v>
      </c>
      <c r="F63" s="9">
        <f ca="1">Таблица14[[#This Row],[01.май]]+RANDBETWEEN(1,10)</f>
        <v>43738</v>
      </c>
      <c r="G63" s="2">
        <v>3</v>
      </c>
      <c r="H63">
        <f t="shared" ca="1" si="5"/>
        <v>7</v>
      </c>
      <c r="I63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6</v>
      </c>
      <c r="J63" s="2">
        <f ca="1">Таблица14[[#This Row],[Трудоемкость исходная]]-ROUNDUP(Таблица14[[#This Row],[Трудоемкость исходная]]/7,0)</f>
        <v>6</v>
      </c>
      <c r="K63" s="2">
        <f t="shared" ca="1" si="6"/>
        <v>5</v>
      </c>
      <c r="L63" s="2">
        <f>VLOOKUP(Таблица14[[#This Row],[Release]],Релизы!A:B,2,FALSE)</f>
        <v>3</v>
      </c>
      <c r="M63" s="2" t="s">
        <v>146</v>
      </c>
      <c r="N63" s="2">
        <v>8</v>
      </c>
      <c r="O63" s="2">
        <f t="shared" ca="1" si="7"/>
        <v>0</v>
      </c>
      <c r="P63" s="2">
        <v>12</v>
      </c>
      <c r="Q63" s="2">
        <f>Таблица14[[#This Row],[ID]]</f>
        <v>124</v>
      </c>
      <c r="R63" s="2">
        <v>5</v>
      </c>
      <c r="S63" s="2">
        <f t="shared" ca="1" si="8"/>
        <v>18</v>
      </c>
    </row>
    <row r="64" spans="1:19" x14ac:dyDescent="0.25">
      <c r="A64" s="2">
        <v>126</v>
      </c>
      <c r="B64" s="2" t="str">
        <f>"MR-"&amp;Таблица14[[#This Row],[ID]]</f>
        <v>MR-126</v>
      </c>
      <c r="C64" s="2">
        <v>5</v>
      </c>
      <c r="D64" s="3" t="s">
        <v>215</v>
      </c>
      <c r="E64" s="9">
        <f ca="1">Таблица14[[#Headers],[01.май]]+RANDBETWEEN(1,3)+E63-Таблица14[[#Headers],[01.май]]</f>
        <v>43732</v>
      </c>
      <c r="F64" s="9">
        <f ca="1">Таблица14[[#This Row],[01.май]]+RANDBETWEEN(1,10)</f>
        <v>43736</v>
      </c>
      <c r="G64" s="2">
        <v>3</v>
      </c>
      <c r="H64">
        <f t="shared" ca="1" si="5"/>
        <v>5</v>
      </c>
      <c r="I64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5</v>
      </c>
      <c r="J64" s="2">
        <f ca="1">Таблица14[[#This Row],[Трудоемкость исходная]]-ROUNDUP(Таблица14[[#This Row],[Трудоемкость исходная]]/6,0)</f>
        <v>4</v>
      </c>
      <c r="K64" s="2">
        <f t="shared" ca="1" si="6"/>
        <v>6</v>
      </c>
      <c r="L64" s="2">
        <f>VLOOKUP(Таблица14[[#This Row],[Release]],Релизы!A:B,2,FALSE)</f>
        <v>3</v>
      </c>
      <c r="M64" s="2" t="s">
        <v>146</v>
      </c>
      <c r="N64" s="2">
        <v>8</v>
      </c>
      <c r="O64" s="2">
        <f t="shared" ca="1" si="7"/>
        <v>0</v>
      </c>
      <c r="P64" s="2">
        <v>12</v>
      </c>
      <c r="Q64" s="2">
        <f>Таблица14[[#This Row],[ID]]</f>
        <v>126</v>
      </c>
      <c r="R64" s="2">
        <v>5</v>
      </c>
      <c r="S64" s="2">
        <f t="shared" ca="1" si="8"/>
        <v>20</v>
      </c>
    </row>
    <row r="65" spans="1:19" x14ac:dyDescent="0.25">
      <c r="A65" s="2">
        <v>128</v>
      </c>
      <c r="B65" s="2" t="str">
        <f>"MR-"&amp;Таблица14[[#This Row],[ID]]</f>
        <v>MR-128</v>
      </c>
      <c r="C65" s="2">
        <v>2</v>
      </c>
      <c r="D65" s="3" t="s">
        <v>216</v>
      </c>
      <c r="E65" s="9">
        <f ca="1">Таблица14[[#Headers],[01.май]]+RANDBETWEEN(1,3)+E64-Таблица14[[#Headers],[01.май]]</f>
        <v>43733</v>
      </c>
      <c r="F65" s="9">
        <f ca="1">Таблица14[[#This Row],[01.май]]+RANDBETWEEN(1,10)</f>
        <v>43740</v>
      </c>
      <c r="G65" s="2">
        <v>3</v>
      </c>
      <c r="H65">
        <f t="shared" ca="1" si="5"/>
        <v>2</v>
      </c>
      <c r="I65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2</v>
      </c>
      <c r="J65" s="2">
        <f ca="1">Таблица14[[#This Row],[Трудоемкость исходная]]-ROUNDUP(Таблица14[[#This Row],[Трудоемкость исходная]]/5,0)</f>
        <v>1</v>
      </c>
      <c r="K65" s="2">
        <f t="shared" ca="1" si="6"/>
        <v>6</v>
      </c>
      <c r="L65" s="2">
        <f>VLOOKUP(Таблица14[[#This Row],[Release]],Релизы!A:B,2,FALSE)</f>
        <v>3</v>
      </c>
      <c r="M65" s="2" t="s">
        <v>146</v>
      </c>
      <c r="N65" s="2">
        <v>8</v>
      </c>
      <c r="O65" s="2">
        <f t="shared" ca="1" si="7"/>
        <v>0</v>
      </c>
      <c r="P65" s="2">
        <v>12</v>
      </c>
      <c r="Q65" s="2">
        <f>Таблица14[[#This Row],[ID]]</f>
        <v>128</v>
      </c>
      <c r="R65" s="2">
        <v>5</v>
      </c>
      <c r="S65" s="2">
        <f t="shared" ca="1" si="8"/>
        <v>22</v>
      </c>
    </row>
    <row r="66" spans="1:19" x14ac:dyDescent="0.25">
      <c r="A66" s="2">
        <v>130</v>
      </c>
      <c r="B66" s="2" t="str">
        <f>"MR-"&amp;Таблица14[[#This Row],[ID]]</f>
        <v>MR-130</v>
      </c>
      <c r="C66" s="2">
        <v>1</v>
      </c>
      <c r="D66" s="3" t="s">
        <v>217</v>
      </c>
      <c r="E66" s="9">
        <f ca="1">Таблица14[[#Headers],[01.май]]+RANDBETWEEN(1,3)+E65-Таблица14[[#Headers],[01.май]]</f>
        <v>43736</v>
      </c>
      <c r="F66" s="9">
        <f ca="1">Таблица14[[#This Row],[01.май]]+RANDBETWEEN(1,10)</f>
        <v>43741</v>
      </c>
      <c r="G66" s="2">
        <v>3</v>
      </c>
      <c r="H66">
        <f t="shared" ref="H66:H100" ca="1" si="9">RANDBETWEEN(1,10)</f>
        <v>3</v>
      </c>
      <c r="I66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3</v>
      </c>
      <c r="J66" s="2">
        <f ca="1">Таблица14[[#This Row],[Трудоемкость исходная]]-ROUNDUP(Таблица14[[#This Row],[Трудоемкость исходная]]/4,0)</f>
        <v>2</v>
      </c>
      <c r="K66" s="2">
        <f t="shared" ref="K66:K100" ca="1" si="10">RANDBETWEEN(4,6)</f>
        <v>6</v>
      </c>
      <c r="L66" s="2">
        <f>VLOOKUP(Таблица14[[#This Row],[Release]],Релизы!A:B,2,FALSE)</f>
        <v>3</v>
      </c>
      <c r="M66" s="2" t="s">
        <v>146</v>
      </c>
      <c r="N66" s="2">
        <v>9</v>
      </c>
      <c r="O66" s="2">
        <f t="shared" ca="1" si="7"/>
        <v>0</v>
      </c>
      <c r="P66" s="2">
        <v>12</v>
      </c>
      <c r="Q66" s="2">
        <f>Таблица14[[#This Row],[ID]]</f>
        <v>130</v>
      </c>
      <c r="R66" s="2">
        <v>5</v>
      </c>
      <c r="S66" s="2">
        <f t="shared" ca="1" si="8"/>
        <v>21</v>
      </c>
    </row>
    <row r="67" spans="1:19" x14ac:dyDescent="0.25">
      <c r="A67" s="2">
        <v>132</v>
      </c>
      <c r="B67" s="2" t="str">
        <f>"MR-"&amp;Таблица14[[#This Row],[ID]]</f>
        <v>MR-132</v>
      </c>
      <c r="C67" s="2">
        <v>1</v>
      </c>
      <c r="D67" s="3" t="s">
        <v>58</v>
      </c>
      <c r="E67" s="9">
        <f ca="1">Таблица14[[#Headers],[01.май]]+RANDBETWEEN(1,3)+E66-Таблица14[[#Headers],[01.май]]</f>
        <v>43737</v>
      </c>
      <c r="F67" s="9">
        <f ca="1">Таблица14[[#This Row],[01.май]]+RANDBETWEEN(1,10)</f>
        <v>43739</v>
      </c>
      <c r="G67" s="2">
        <v>3</v>
      </c>
      <c r="H67">
        <f t="shared" ca="1" si="9"/>
        <v>8</v>
      </c>
      <c r="I67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7</v>
      </c>
      <c r="J67" s="2">
        <f ca="1">Таблица14[[#This Row],[Трудоемкость исходная]]-ROUNDUP(Таблица14[[#This Row],[Трудоемкость исходная]]/3,0)</f>
        <v>5</v>
      </c>
      <c r="K67" s="2">
        <f t="shared" ca="1" si="10"/>
        <v>5</v>
      </c>
      <c r="L67" s="2">
        <f>VLOOKUP(Таблица14[[#This Row],[Release]],Релизы!A:B,2,FALSE)</f>
        <v>3</v>
      </c>
      <c r="M67" s="2" t="s">
        <v>146</v>
      </c>
      <c r="N67" s="2">
        <v>9</v>
      </c>
      <c r="O67" s="2">
        <f t="shared" ref="O67:O100" ca="1" si="11">IF(RANDBETWEEN(0,10)&gt;8,1,0)</f>
        <v>0</v>
      </c>
      <c r="P67" s="2">
        <v>12</v>
      </c>
      <c r="Q67" s="2">
        <f>Таблица14[[#This Row],[ID]]</f>
        <v>132</v>
      </c>
      <c r="R67" s="2">
        <v>5</v>
      </c>
      <c r="S67" s="2">
        <f t="shared" ca="1" si="8"/>
        <v>21</v>
      </c>
    </row>
    <row r="68" spans="1:19" x14ac:dyDescent="0.25">
      <c r="A68" s="2">
        <v>134</v>
      </c>
      <c r="B68" s="2" t="str">
        <f>"MR-"&amp;Таблица14[[#This Row],[ID]]</f>
        <v>MR-134</v>
      </c>
      <c r="C68" s="2">
        <v>4</v>
      </c>
      <c r="D68" s="3" t="s">
        <v>59</v>
      </c>
      <c r="E68" s="9">
        <f ca="1">Таблица14[[#Headers],[01.май]]+RANDBETWEEN(1,3)+E67-Таблица14[[#Headers],[01.май]]</f>
        <v>43740</v>
      </c>
      <c r="F68" s="9">
        <f ca="1">Таблица14[[#This Row],[01.май]]+RANDBETWEEN(1,10)</f>
        <v>43747</v>
      </c>
      <c r="G68" s="2">
        <v>3</v>
      </c>
      <c r="H68">
        <f t="shared" ca="1" si="9"/>
        <v>10</v>
      </c>
      <c r="I68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9</v>
      </c>
      <c r="J68" s="2">
        <f ca="1">Таблица14[[#This Row],[Трудоемкость исходная]]-ROUNDUP(Таблица14[[#This Row],[Трудоемкость исходная]]/2,0)</f>
        <v>5</v>
      </c>
      <c r="K68" s="2">
        <f t="shared" ca="1" si="10"/>
        <v>4</v>
      </c>
      <c r="L68" s="2">
        <f>VLOOKUP(Таблица14[[#This Row],[Release]],Релизы!A:B,2,FALSE)</f>
        <v>3</v>
      </c>
      <c r="M68" s="2" t="s">
        <v>146</v>
      </c>
      <c r="N68" s="2">
        <v>9</v>
      </c>
      <c r="O68" s="2">
        <f t="shared" ca="1" si="11"/>
        <v>0</v>
      </c>
      <c r="P68" s="2">
        <v>12</v>
      </c>
      <c r="Q68" s="2">
        <f>Таблица14[[#This Row],[ID]]</f>
        <v>134</v>
      </c>
      <c r="R68" s="2">
        <v>5</v>
      </c>
      <c r="S68" s="2">
        <f t="shared" ca="1" si="8"/>
        <v>20</v>
      </c>
    </row>
    <row r="69" spans="1:19" x14ac:dyDescent="0.25">
      <c r="A69" s="2">
        <v>136</v>
      </c>
      <c r="B69" s="2" t="str">
        <f>"MR-"&amp;Таблица14[[#This Row],[ID]]</f>
        <v>MR-136</v>
      </c>
      <c r="C69" s="2">
        <v>2</v>
      </c>
      <c r="D69" s="3" t="s">
        <v>218</v>
      </c>
      <c r="E69" s="9">
        <f ca="1">Таблица14[[#Headers],[01.май]]+RANDBETWEEN(1,3)+E68-Таблица14[[#Headers],[01.май]]</f>
        <v>43743</v>
      </c>
      <c r="F69" s="9">
        <f ca="1">Таблица14[[#This Row],[01.май]]+RANDBETWEEN(1,10)</f>
        <v>43752</v>
      </c>
      <c r="G69" s="2">
        <v>2</v>
      </c>
      <c r="H69">
        <f t="shared" ca="1" si="9"/>
        <v>4</v>
      </c>
      <c r="I69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4</v>
      </c>
      <c r="J69" s="2">
        <f ca="1">Таблица14[[#This Row],[Трудоемкость исходная]]</f>
        <v>4</v>
      </c>
      <c r="K69" s="2">
        <f t="shared" ca="1" si="10"/>
        <v>4</v>
      </c>
      <c r="L69" s="2">
        <f>VLOOKUP(Таблица14[[#This Row],[Release]],Релизы!A:B,2,FALSE)</f>
        <v>3</v>
      </c>
      <c r="M69" s="2" t="s">
        <v>146</v>
      </c>
      <c r="N69" s="2">
        <v>9</v>
      </c>
      <c r="O69" s="2">
        <f t="shared" ca="1" si="11"/>
        <v>0</v>
      </c>
      <c r="P69" s="2">
        <v>12</v>
      </c>
      <c r="Q69" s="2">
        <f>Таблица14[[#This Row],[ID]]</f>
        <v>136</v>
      </c>
      <c r="R69" s="2">
        <v>5</v>
      </c>
      <c r="S69" s="2">
        <f t="shared" ca="1" si="8"/>
        <v>20</v>
      </c>
    </row>
    <row r="70" spans="1:19" x14ac:dyDescent="0.25">
      <c r="A70" s="2">
        <v>138</v>
      </c>
      <c r="B70" s="2" t="str">
        <f>"MR-"&amp;Таблица14[[#This Row],[ID]]</f>
        <v>MR-138</v>
      </c>
      <c r="C70" s="2">
        <v>5</v>
      </c>
      <c r="D70" s="3" t="s">
        <v>60</v>
      </c>
      <c r="E70" s="9">
        <f ca="1">Таблица14[[#Headers],[01.май]]+RANDBETWEEN(1,3)+E69-Таблица14[[#Headers],[01.май]]</f>
        <v>43746</v>
      </c>
      <c r="F70" s="9">
        <f ca="1">Таблица14[[#This Row],[01.май]]+RANDBETWEEN(1,10)</f>
        <v>43748</v>
      </c>
      <c r="G70" s="2">
        <v>2</v>
      </c>
      <c r="H70">
        <f t="shared" ca="1" si="9"/>
        <v>3</v>
      </c>
      <c r="I70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3</v>
      </c>
      <c r="J70" s="2">
        <f ca="1">Таблица14[[#This Row],[Трудоемкость исходная]]</f>
        <v>3</v>
      </c>
      <c r="K70" s="2">
        <f t="shared" ca="1" si="10"/>
        <v>5</v>
      </c>
      <c r="L70" s="2">
        <f>VLOOKUP(Таблица14[[#This Row],[Release]],Релизы!A:B,2,FALSE)</f>
        <v>3</v>
      </c>
      <c r="M70" s="2" t="s">
        <v>146</v>
      </c>
      <c r="N70" s="2">
        <v>9</v>
      </c>
      <c r="O70" s="2">
        <f t="shared" ca="1" si="11"/>
        <v>0</v>
      </c>
      <c r="P70" s="2">
        <v>12</v>
      </c>
      <c r="Q70" s="2">
        <f>Таблица14[[#This Row],[ID]]</f>
        <v>138</v>
      </c>
      <c r="R70" s="2">
        <v>5</v>
      </c>
      <c r="S70" s="2">
        <f t="shared" ca="1" si="8"/>
        <v>22</v>
      </c>
    </row>
    <row r="71" spans="1:19" x14ac:dyDescent="0.25">
      <c r="A71" s="2">
        <v>140</v>
      </c>
      <c r="B71" s="2" t="str">
        <f>"MR-"&amp;Таблица14[[#This Row],[ID]]</f>
        <v>MR-140</v>
      </c>
      <c r="C71" s="2">
        <v>3</v>
      </c>
      <c r="D71" s="3" t="s">
        <v>61</v>
      </c>
      <c r="E71" s="9">
        <f ca="1">Таблица14[[#Headers],[01.май]]+RANDBETWEEN(1,3)+E70-Таблица14[[#Headers],[01.май]]</f>
        <v>43748</v>
      </c>
      <c r="F71" s="9">
        <f ca="1">Таблица14[[#This Row],[01.май]]+RANDBETWEEN(1,10)</f>
        <v>43751</v>
      </c>
      <c r="G71" s="2">
        <v>2</v>
      </c>
      <c r="H71">
        <f t="shared" ca="1" si="9"/>
        <v>8</v>
      </c>
      <c r="I71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7</v>
      </c>
      <c r="J71" s="2">
        <f ca="1">Таблица14[[#This Row],[Трудоемкость исходная]]</f>
        <v>8</v>
      </c>
      <c r="K71" s="2">
        <f t="shared" ca="1" si="10"/>
        <v>6</v>
      </c>
      <c r="L71" s="2">
        <f>VLOOKUP(Таблица14[[#This Row],[Release]],Релизы!A:B,2,FALSE)</f>
        <v>3</v>
      </c>
      <c r="M71" s="2" t="s">
        <v>146</v>
      </c>
      <c r="N71" s="2">
        <v>9</v>
      </c>
      <c r="O71" s="2">
        <f t="shared" ca="1" si="11"/>
        <v>0</v>
      </c>
      <c r="P71" s="2">
        <v>12</v>
      </c>
      <c r="Q71" s="2">
        <f>Таблица14[[#This Row],[ID]]</f>
        <v>140</v>
      </c>
      <c r="R71" s="2">
        <v>5</v>
      </c>
      <c r="S71" s="2">
        <f t="shared" ca="1" si="8"/>
        <v>19</v>
      </c>
    </row>
    <row r="72" spans="1:19" x14ac:dyDescent="0.25">
      <c r="A72" s="2">
        <v>142</v>
      </c>
      <c r="B72" s="2" t="str">
        <f>"MR-"&amp;Таблица14[[#This Row],[ID]]</f>
        <v>MR-142</v>
      </c>
      <c r="C72" s="2">
        <v>2</v>
      </c>
      <c r="D72" s="3" t="s">
        <v>219</v>
      </c>
      <c r="E72" s="9">
        <f ca="1">Таблица14[[#Headers],[01.май]]+RANDBETWEEN(1,3)+E71-Таблица14[[#Headers],[01.май]]</f>
        <v>43751</v>
      </c>
      <c r="F72" s="9">
        <f ca="1">Таблица14[[#This Row],[01.май]]+RANDBETWEEN(1,10)</f>
        <v>43755</v>
      </c>
      <c r="G72" s="2">
        <v>2</v>
      </c>
      <c r="H72">
        <f t="shared" ca="1" si="9"/>
        <v>3</v>
      </c>
      <c r="I72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3</v>
      </c>
      <c r="J72" s="2">
        <f ca="1">Таблица14[[#This Row],[Трудоемкость исходная]]</f>
        <v>3</v>
      </c>
      <c r="K72" s="2">
        <f t="shared" ca="1" si="10"/>
        <v>5</v>
      </c>
      <c r="L72" s="2">
        <f>VLOOKUP(Таблица14[[#This Row],[Release]],Релизы!A:B,2,FALSE)</f>
        <v>3</v>
      </c>
      <c r="M72" s="2" t="s">
        <v>146</v>
      </c>
      <c r="N72" s="2">
        <v>9</v>
      </c>
      <c r="O72" s="2">
        <f t="shared" ca="1" si="11"/>
        <v>0</v>
      </c>
      <c r="P72" s="2">
        <v>14</v>
      </c>
      <c r="Q72" s="2">
        <f>Таблица14[[#This Row],[ID]]</f>
        <v>142</v>
      </c>
      <c r="R72" s="2">
        <v>5</v>
      </c>
      <c r="S72" s="2">
        <f t="shared" ca="1" si="8"/>
        <v>19</v>
      </c>
    </row>
    <row r="73" spans="1:19" x14ac:dyDescent="0.25">
      <c r="A73" s="2">
        <v>144</v>
      </c>
      <c r="B73" s="2" t="str">
        <f>"MR-"&amp;Таблица14[[#This Row],[ID]]</f>
        <v>MR-144</v>
      </c>
      <c r="C73" s="2">
        <v>1</v>
      </c>
      <c r="D73" s="3" t="s">
        <v>62</v>
      </c>
      <c r="E73" s="9">
        <f ca="1">Таблица14[[#Headers],[01.май]]+RANDBETWEEN(1,3)+E72-Таблица14[[#Headers],[01.май]]</f>
        <v>43752</v>
      </c>
      <c r="F73" s="9">
        <f ca="1">Таблица14[[#This Row],[01.май]]+RANDBETWEEN(1,10)</f>
        <v>43762</v>
      </c>
      <c r="G73" s="2">
        <v>2</v>
      </c>
      <c r="H73">
        <f t="shared" ca="1" si="9"/>
        <v>3</v>
      </c>
      <c r="I73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3</v>
      </c>
      <c r="J73" s="2">
        <f ca="1">Таблица14[[#This Row],[Трудоемкость исходная]]</f>
        <v>3</v>
      </c>
      <c r="K73" s="2">
        <f t="shared" ca="1" si="10"/>
        <v>6</v>
      </c>
      <c r="L73" s="2">
        <f>VLOOKUP(Таблица14[[#This Row],[Release]],Релизы!A:B,2,FALSE)</f>
        <v>3</v>
      </c>
      <c r="M73" s="2" t="s">
        <v>146</v>
      </c>
      <c r="N73" s="2">
        <v>9</v>
      </c>
      <c r="O73" s="2">
        <f t="shared" ca="1" si="11"/>
        <v>0</v>
      </c>
      <c r="P73" s="2">
        <v>14</v>
      </c>
      <c r="Q73" s="2">
        <f>Таблица14[[#This Row],[ID]]</f>
        <v>144</v>
      </c>
      <c r="R73" s="2">
        <v>5</v>
      </c>
      <c r="S73" s="2">
        <f t="shared" ca="1" si="8"/>
        <v>20</v>
      </c>
    </row>
    <row r="74" spans="1:19" x14ac:dyDescent="0.25">
      <c r="A74" s="2">
        <v>146</v>
      </c>
      <c r="B74" s="2" t="str">
        <f>"MR-"&amp;Таблица14[[#This Row],[ID]]</f>
        <v>MR-146</v>
      </c>
      <c r="C74" s="2">
        <v>5</v>
      </c>
      <c r="D74" s="3" t="s">
        <v>63</v>
      </c>
      <c r="E74" s="9">
        <f ca="1">Таблица14[[#Headers],[01.май]]+RANDBETWEEN(1,3)+E73-Таблица14[[#Headers],[01.май]]</f>
        <v>43754</v>
      </c>
      <c r="F74" s="9">
        <f ca="1">Таблица14[[#This Row],[01.май]]+RANDBETWEEN(1,10)</f>
        <v>43756</v>
      </c>
      <c r="G74" s="2">
        <v>2</v>
      </c>
      <c r="H74">
        <f t="shared" ca="1" si="9"/>
        <v>7</v>
      </c>
      <c r="I74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6</v>
      </c>
      <c r="J74" s="2">
        <f ca="1">Таблица14[[#This Row],[Трудоемкость исходная]]</f>
        <v>7</v>
      </c>
      <c r="K74" s="2">
        <f t="shared" ca="1" si="10"/>
        <v>4</v>
      </c>
      <c r="L74" s="2">
        <f>VLOOKUP(Таблица14[[#This Row],[Release]],Релизы!A:B,2,FALSE)</f>
        <v>3</v>
      </c>
      <c r="M74" s="2" t="s">
        <v>146</v>
      </c>
      <c r="N74" s="2">
        <v>9</v>
      </c>
      <c r="O74" s="2">
        <f t="shared" ca="1" si="11"/>
        <v>0</v>
      </c>
      <c r="P74" s="2">
        <v>14</v>
      </c>
      <c r="Q74" s="2">
        <f>Таблица14[[#This Row],[ID]]</f>
        <v>146</v>
      </c>
      <c r="R74" s="2">
        <v>5</v>
      </c>
      <c r="S74" s="2">
        <f t="shared" ca="1" si="8"/>
        <v>20</v>
      </c>
    </row>
    <row r="75" spans="1:19" x14ac:dyDescent="0.25">
      <c r="A75" s="2">
        <v>148</v>
      </c>
      <c r="B75" s="2" t="str">
        <f>"MR-"&amp;Таблица14[[#This Row],[ID]]</f>
        <v>MR-148</v>
      </c>
      <c r="C75" s="2">
        <v>1</v>
      </c>
      <c r="D75" s="3" t="s">
        <v>64</v>
      </c>
      <c r="E75" s="9">
        <f ca="1">Таблица14[[#Headers],[01.май]]+RANDBETWEEN(1,3)+E74-Таблица14[[#Headers],[01.май]]</f>
        <v>43756</v>
      </c>
      <c r="F75" s="9">
        <f ca="1">Таблица14[[#This Row],[01.май]]+RANDBETWEEN(1,10)</f>
        <v>43762</v>
      </c>
      <c r="G75" s="2">
        <v>2</v>
      </c>
      <c r="H75">
        <f t="shared" ca="1" si="9"/>
        <v>6</v>
      </c>
      <c r="I75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5</v>
      </c>
      <c r="J75" s="2">
        <f ca="1">Таблица14[[#This Row],[Трудоемкость исходная]]</f>
        <v>6</v>
      </c>
      <c r="K75" s="2">
        <f t="shared" ca="1" si="10"/>
        <v>5</v>
      </c>
      <c r="L75" s="2">
        <f>VLOOKUP(Таблица14[[#This Row],[Release]],Релизы!A:B,2,FALSE)</f>
        <v>3</v>
      </c>
      <c r="M75" s="2" t="s">
        <v>146</v>
      </c>
      <c r="N75" s="2">
        <v>9</v>
      </c>
      <c r="O75" s="2">
        <f t="shared" ca="1" si="11"/>
        <v>0</v>
      </c>
      <c r="P75" s="2">
        <v>14</v>
      </c>
      <c r="Q75" s="2">
        <f>Таблица14[[#This Row],[ID]]</f>
        <v>148</v>
      </c>
      <c r="R75" s="2">
        <v>5</v>
      </c>
      <c r="S75" s="2">
        <f t="shared" ca="1" si="8"/>
        <v>21</v>
      </c>
    </row>
    <row r="76" spans="1:19" x14ac:dyDescent="0.25">
      <c r="A76" s="2">
        <v>150</v>
      </c>
      <c r="B76" s="2" t="str">
        <f>"MR-"&amp;Таблица14[[#This Row],[ID]]</f>
        <v>MR-150</v>
      </c>
      <c r="C76" s="2">
        <v>5</v>
      </c>
      <c r="D76" s="3" t="s">
        <v>65</v>
      </c>
      <c r="E76" s="9">
        <f ca="1">Таблица14[[#Headers],[01.май]]+RANDBETWEEN(1,3)+E75-Таблица14[[#Headers],[01.май]]</f>
        <v>43758</v>
      </c>
      <c r="F76" s="9">
        <f ca="1">Таблица14[[#This Row],[01.май]]+RANDBETWEEN(1,10)</f>
        <v>43762</v>
      </c>
      <c r="G76" s="2">
        <v>2</v>
      </c>
      <c r="H76">
        <f t="shared" ca="1" si="9"/>
        <v>5</v>
      </c>
      <c r="I76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5</v>
      </c>
      <c r="J76" s="2">
        <f ca="1">Таблица14[[#This Row],[Трудоемкость исходная]]</f>
        <v>5</v>
      </c>
      <c r="K76" s="2">
        <f t="shared" ca="1" si="10"/>
        <v>5</v>
      </c>
      <c r="L76" s="2">
        <f>VLOOKUP(Таблица14[[#This Row],[Release]],Релизы!A:B,2,FALSE)</f>
        <v>3</v>
      </c>
      <c r="M76" s="2" t="s">
        <v>146</v>
      </c>
      <c r="N76" s="2">
        <v>9</v>
      </c>
      <c r="O76" s="2">
        <f t="shared" ca="1" si="11"/>
        <v>0</v>
      </c>
      <c r="P76" s="2">
        <v>14</v>
      </c>
      <c r="Q76" s="2">
        <f>Таблица14[[#This Row],[ID]]</f>
        <v>150</v>
      </c>
      <c r="R76" s="2">
        <v>5</v>
      </c>
      <c r="S76" s="2">
        <f t="shared" ca="1" si="8"/>
        <v>21</v>
      </c>
    </row>
    <row r="77" spans="1:19" x14ac:dyDescent="0.25">
      <c r="A77" s="2">
        <v>152</v>
      </c>
      <c r="B77" s="2" t="str">
        <f>"MR-"&amp;Таблица14[[#This Row],[ID]]</f>
        <v>MR-152</v>
      </c>
      <c r="C77" s="2">
        <v>4</v>
      </c>
      <c r="D77" s="3" t="s">
        <v>66</v>
      </c>
      <c r="E77" s="9">
        <f ca="1">Таблица14[[#Headers],[01.май]]+RANDBETWEEN(1,3)+E76-Таблица14[[#Headers],[01.май]]</f>
        <v>43761</v>
      </c>
      <c r="F77" s="9">
        <f ca="1">Таблица14[[#This Row],[01.май]]+RANDBETWEEN(1,10)</f>
        <v>43771</v>
      </c>
      <c r="G77" s="2">
        <v>2</v>
      </c>
      <c r="H77">
        <f t="shared" ca="1" si="9"/>
        <v>9</v>
      </c>
      <c r="I77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8</v>
      </c>
      <c r="J77" s="2">
        <f ca="1">Таблица14[[#This Row],[Трудоемкость исходная]]</f>
        <v>9</v>
      </c>
      <c r="K77" s="2">
        <f t="shared" ca="1" si="10"/>
        <v>4</v>
      </c>
      <c r="L77" s="2">
        <f>VLOOKUP(Таблица14[[#This Row],[Release]],Релизы!A:B,2,FALSE)</f>
        <v>1</v>
      </c>
      <c r="M77" s="2" t="s">
        <v>146</v>
      </c>
      <c r="N77" s="2">
        <v>9</v>
      </c>
      <c r="O77" s="2">
        <f t="shared" ca="1" si="11"/>
        <v>0</v>
      </c>
      <c r="P77" s="2">
        <v>14</v>
      </c>
      <c r="Q77" s="2">
        <f>Таблица14[[#This Row],[ID]]</f>
        <v>152</v>
      </c>
      <c r="R77" s="2">
        <v>6</v>
      </c>
      <c r="S77" s="2">
        <f t="shared" ca="1" si="8"/>
        <v>20</v>
      </c>
    </row>
    <row r="78" spans="1:19" x14ac:dyDescent="0.25">
      <c r="A78" s="2">
        <v>154</v>
      </c>
      <c r="B78" s="2" t="str">
        <f>"MR-"&amp;Таблица14[[#This Row],[ID]]</f>
        <v>MR-154</v>
      </c>
      <c r="C78" s="2">
        <v>5</v>
      </c>
      <c r="D78" s="3" t="s">
        <v>67</v>
      </c>
      <c r="E78" s="9">
        <f ca="1">Таблица14[[#Headers],[01.май]]+RANDBETWEEN(1,3)+E77-Таблица14[[#Headers],[01.май]]</f>
        <v>43763</v>
      </c>
      <c r="F78" s="9">
        <f ca="1">Таблица14[[#This Row],[01.май]]+RANDBETWEEN(1,10)</f>
        <v>43771</v>
      </c>
      <c r="G78" s="2">
        <v>2</v>
      </c>
      <c r="H78">
        <f t="shared" ca="1" si="9"/>
        <v>7</v>
      </c>
      <c r="I78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6</v>
      </c>
      <c r="J78" s="2">
        <f ca="1">Таблица14[[#This Row],[Трудоемкость исходная]]</f>
        <v>7</v>
      </c>
      <c r="K78" s="2">
        <f t="shared" ca="1" si="10"/>
        <v>6</v>
      </c>
      <c r="L78" s="2">
        <f>VLOOKUP(Таблица14[[#This Row],[Release]],Релизы!A:B,2,FALSE)</f>
        <v>1</v>
      </c>
      <c r="M78" s="2" t="s">
        <v>146</v>
      </c>
      <c r="N78" s="2">
        <v>9</v>
      </c>
      <c r="O78" s="2">
        <f t="shared" ca="1" si="11"/>
        <v>0</v>
      </c>
      <c r="P78" s="2">
        <v>14</v>
      </c>
      <c r="Q78" s="2">
        <f>Таблица14[[#This Row],[ID]]</f>
        <v>154</v>
      </c>
      <c r="R78" s="2">
        <v>6</v>
      </c>
      <c r="S78" s="2">
        <f t="shared" ca="1" si="8"/>
        <v>22</v>
      </c>
    </row>
    <row r="79" spans="1:19" x14ac:dyDescent="0.25">
      <c r="A79" s="2">
        <v>156</v>
      </c>
      <c r="B79" s="2" t="str">
        <f>"MR-"&amp;Таблица14[[#This Row],[ID]]</f>
        <v>MR-156</v>
      </c>
      <c r="C79" s="2">
        <v>4</v>
      </c>
      <c r="D79" s="3" t="s">
        <v>68</v>
      </c>
      <c r="E79" s="9">
        <f ca="1">Таблица14[[#Headers],[01.май]]+RANDBETWEEN(1,3)+E78-Таблица14[[#Headers],[01.май]]</f>
        <v>43765</v>
      </c>
      <c r="F79" s="9">
        <f ca="1">Таблица14[[#This Row],[01.май]]+RANDBETWEEN(1,10)</f>
        <v>43775</v>
      </c>
      <c r="G79" s="2">
        <v>2</v>
      </c>
      <c r="H79">
        <f t="shared" ca="1" si="9"/>
        <v>1</v>
      </c>
      <c r="I79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1</v>
      </c>
      <c r="J79" s="2">
        <f ca="1">Таблица14[[#This Row],[Трудоемкость исходная]]</f>
        <v>1</v>
      </c>
      <c r="K79" s="2">
        <f t="shared" ca="1" si="10"/>
        <v>6</v>
      </c>
      <c r="L79" s="2">
        <f>VLOOKUP(Таблица14[[#This Row],[Release]],Релизы!A:B,2,FALSE)</f>
        <v>1</v>
      </c>
      <c r="M79" s="2" t="s">
        <v>146</v>
      </c>
      <c r="N79" s="2">
        <v>9</v>
      </c>
      <c r="O79" s="2">
        <f t="shared" ca="1" si="11"/>
        <v>0</v>
      </c>
      <c r="P79" s="2">
        <v>14</v>
      </c>
      <c r="Q79" s="2">
        <f>Таблица14[[#This Row],[ID]]</f>
        <v>156</v>
      </c>
      <c r="R79" s="2">
        <v>6</v>
      </c>
      <c r="S79" s="2">
        <f t="shared" ca="1" si="8"/>
        <v>20</v>
      </c>
    </row>
    <row r="80" spans="1:19" x14ac:dyDescent="0.25">
      <c r="A80" s="2">
        <v>158</v>
      </c>
      <c r="B80" s="2" t="str">
        <f>"MR-"&amp;Таблица14[[#This Row],[ID]]</f>
        <v>MR-158</v>
      </c>
      <c r="C80" s="2">
        <v>1</v>
      </c>
      <c r="D80" s="3" t="s">
        <v>69</v>
      </c>
      <c r="E80" s="9">
        <f ca="1">Таблица14[[#Headers],[01.май]]+RANDBETWEEN(1,3)+E79-Таблица14[[#Headers],[01.май]]</f>
        <v>43767</v>
      </c>
      <c r="F80" s="9">
        <f ca="1">Таблица14[[#This Row],[01.май]]+RANDBETWEEN(1,10)</f>
        <v>43776</v>
      </c>
      <c r="G80" s="2">
        <v>2</v>
      </c>
      <c r="H80">
        <f t="shared" ca="1" si="9"/>
        <v>5</v>
      </c>
      <c r="I80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5</v>
      </c>
      <c r="J80" s="2">
        <f ca="1">Таблица14[[#This Row],[Трудоемкость исходная]]</f>
        <v>5</v>
      </c>
      <c r="K80" s="2">
        <f t="shared" ca="1" si="10"/>
        <v>5</v>
      </c>
      <c r="L80" s="2">
        <f>VLOOKUP(Таблица14[[#This Row],[Release]],Релизы!A:B,2,FALSE)</f>
        <v>1</v>
      </c>
      <c r="M80" s="2" t="s">
        <v>146</v>
      </c>
      <c r="N80" s="2">
        <v>9</v>
      </c>
      <c r="O80" s="2">
        <f t="shared" ca="1" si="11"/>
        <v>0</v>
      </c>
      <c r="P80" s="2">
        <v>14</v>
      </c>
      <c r="Q80" s="2">
        <f>Таблица14[[#This Row],[ID]]</f>
        <v>158</v>
      </c>
      <c r="R80" s="2">
        <v>6</v>
      </c>
      <c r="S80" s="2">
        <f t="shared" ca="1" si="8"/>
        <v>22</v>
      </c>
    </row>
    <row r="81" spans="1:19" x14ac:dyDescent="0.25">
      <c r="A81" s="2">
        <v>160</v>
      </c>
      <c r="B81" s="2" t="str">
        <f>"MR-"&amp;Таблица14[[#This Row],[ID]]</f>
        <v>MR-160</v>
      </c>
      <c r="C81" s="2">
        <v>2</v>
      </c>
      <c r="D81" s="3" t="s">
        <v>220</v>
      </c>
      <c r="E81" s="9">
        <f ca="1">Таблица14[[#Headers],[01.май]]+RANDBETWEEN(1,3)+E80-Таблица14[[#Headers],[01.май]]</f>
        <v>43768</v>
      </c>
      <c r="F81" s="9">
        <f ca="1">Таблица14[[#This Row],[01.май]]+RANDBETWEEN(1,10)</f>
        <v>43772</v>
      </c>
      <c r="G81" s="2">
        <v>2</v>
      </c>
      <c r="H81">
        <f t="shared" ca="1" si="9"/>
        <v>6</v>
      </c>
      <c r="I81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5</v>
      </c>
      <c r="J81" s="2">
        <f ca="1">Таблица14[[#This Row],[Трудоемкость исходная]]</f>
        <v>6</v>
      </c>
      <c r="K81" s="2">
        <f t="shared" ca="1" si="10"/>
        <v>5</v>
      </c>
      <c r="L81" s="2">
        <f>VLOOKUP(Таблица14[[#This Row],[Release]],Релизы!A:B,2,FALSE)</f>
        <v>1</v>
      </c>
      <c r="M81" s="2" t="s">
        <v>146</v>
      </c>
      <c r="N81" s="2">
        <v>9</v>
      </c>
      <c r="O81" s="2">
        <f t="shared" ca="1" si="11"/>
        <v>0</v>
      </c>
      <c r="P81" s="2">
        <v>14</v>
      </c>
      <c r="Q81" s="2">
        <f>Таблица14[[#This Row],[ID]]</f>
        <v>160</v>
      </c>
      <c r="R81" s="2">
        <v>6</v>
      </c>
      <c r="S81" s="2">
        <f t="shared" ca="1" si="8"/>
        <v>18</v>
      </c>
    </row>
    <row r="82" spans="1:19" x14ac:dyDescent="0.25">
      <c r="A82" s="2">
        <v>162</v>
      </c>
      <c r="B82" s="2" t="str">
        <f>"MR-"&amp;Таблица14[[#This Row],[ID]]</f>
        <v>MR-162</v>
      </c>
      <c r="C82" s="2">
        <v>1</v>
      </c>
      <c r="D82" s="3" t="s">
        <v>221</v>
      </c>
      <c r="E82" s="9">
        <f ca="1">Таблица14[[#Headers],[01.май]]+RANDBETWEEN(1,3)+E81-Таблица14[[#Headers],[01.май]]</f>
        <v>43770</v>
      </c>
      <c r="F82" s="9">
        <f ca="1">Таблица14[[#This Row],[01.май]]+RANDBETWEEN(1,10)</f>
        <v>43771</v>
      </c>
      <c r="G82" s="2">
        <v>2</v>
      </c>
      <c r="H82">
        <f t="shared" ca="1" si="9"/>
        <v>1</v>
      </c>
      <c r="I82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1</v>
      </c>
      <c r="J82" s="2">
        <f ca="1">Таблица14[[#This Row],[Трудоемкость исходная]]</f>
        <v>1</v>
      </c>
      <c r="K82" s="2">
        <f t="shared" ca="1" si="10"/>
        <v>4</v>
      </c>
      <c r="L82" s="2">
        <f>VLOOKUP(Таблица14[[#This Row],[Release]],Релизы!A:B,2,FALSE)</f>
        <v>1</v>
      </c>
      <c r="M82" s="2" t="s">
        <v>146</v>
      </c>
      <c r="N82" s="2">
        <v>9</v>
      </c>
      <c r="O82" s="2">
        <f t="shared" ca="1" si="11"/>
        <v>0</v>
      </c>
      <c r="P82" s="2">
        <v>14</v>
      </c>
      <c r="Q82" s="2">
        <f>Таблица14[[#This Row],[ID]]</f>
        <v>162</v>
      </c>
      <c r="R82" s="2">
        <v>6</v>
      </c>
      <c r="S82" s="2">
        <f t="shared" ca="1" si="8"/>
        <v>20</v>
      </c>
    </row>
    <row r="83" spans="1:19" x14ac:dyDescent="0.25">
      <c r="A83" s="2">
        <v>164</v>
      </c>
      <c r="B83" s="2" t="str">
        <f>"MR-"&amp;Таблица14[[#This Row],[ID]]</f>
        <v>MR-164</v>
      </c>
      <c r="C83" s="2">
        <v>3</v>
      </c>
      <c r="D83" s="3" t="s">
        <v>70</v>
      </c>
      <c r="E83" s="9">
        <f ca="1">Таблица14[[#Headers],[01.май]]+RANDBETWEEN(1,3)+E82-Таблица14[[#Headers],[01.май]]</f>
        <v>43773</v>
      </c>
      <c r="F83" s="9">
        <f ca="1">Таблица14[[#This Row],[01.май]]+RANDBETWEEN(1,10)</f>
        <v>43779</v>
      </c>
      <c r="G83" s="2">
        <v>2</v>
      </c>
      <c r="H83">
        <f t="shared" ca="1" si="9"/>
        <v>7</v>
      </c>
      <c r="I83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6</v>
      </c>
      <c r="J83" s="2">
        <f ca="1">Таблица14[[#This Row],[Трудоемкость исходная]]</f>
        <v>7</v>
      </c>
      <c r="K83" s="2">
        <f t="shared" ca="1" si="10"/>
        <v>5</v>
      </c>
      <c r="L83" s="2">
        <f>VLOOKUP(Таблица14[[#This Row],[Release]],Релизы!A:B,2,FALSE)</f>
        <v>1</v>
      </c>
      <c r="M83" s="2" t="s">
        <v>146</v>
      </c>
      <c r="N83" s="2">
        <v>9</v>
      </c>
      <c r="O83" s="2">
        <f t="shared" ca="1" si="11"/>
        <v>0</v>
      </c>
      <c r="P83" s="2">
        <v>14</v>
      </c>
      <c r="Q83" s="2">
        <f>Таблица14[[#This Row],[ID]]</f>
        <v>164</v>
      </c>
      <c r="R83" s="2">
        <v>6</v>
      </c>
      <c r="S83" s="2">
        <f t="shared" ca="1" si="8"/>
        <v>19</v>
      </c>
    </row>
    <row r="84" spans="1:19" x14ac:dyDescent="0.25">
      <c r="A84" s="2">
        <v>166</v>
      </c>
      <c r="B84" s="2" t="str">
        <f>"MR-"&amp;Таблица14[[#This Row],[ID]]</f>
        <v>MR-166</v>
      </c>
      <c r="C84" s="2">
        <v>2</v>
      </c>
      <c r="D84" s="3" t="s">
        <v>222</v>
      </c>
      <c r="E84" s="9">
        <f ca="1">Таблица14[[#Headers],[01.май]]+RANDBETWEEN(1,3)+E83-Таблица14[[#Headers],[01.май]]</f>
        <v>43776</v>
      </c>
      <c r="F84" s="9">
        <f ca="1">Таблица14[[#This Row],[01.май]]+RANDBETWEEN(1,10)</f>
        <v>43783</v>
      </c>
      <c r="G84" s="2">
        <v>2</v>
      </c>
      <c r="H84">
        <f t="shared" ca="1" si="9"/>
        <v>8</v>
      </c>
      <c r="I84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7</v>
      </c>
      <c r="J84" s="2">
        <f ca="1">Таблица14[[#This Row],[Трудоемкость исходная]]</f>
        <v>8</v>
      </c>
      <c r="K84" s="2">
        <f t="shared" ca="1" si="10"/>
        <v>6</v>
      </c>
      <c r="L84" s="2">
        <f>VLOOKUP(Таблица14[[#This Row],[Release]],Релизы!A:B,2,FALSE)</f>
        <v>2</v>
      </c>
      <c r="M84" s="2" t="s">
        <v>146</v>
      </c>
      <c r="N84" s="2">
        <v>10</v>
      </c>
      <c r="O84" s="2">
        <f t="shared" ca="1" si="11"/>
        <v>0</v>
      </c>
      <c r="P84" s="2">
        <v>16</v>
      </c>
      <c r="Q84" s="2">
        <f>Таблица14[[#This Row],[ID]]</f>
        <v>166</v>
      </c>
      <c r="R84" s="2">
        <v>7</v>
      </c>
      <c r="S84" s="2">
        <f t="shared" ref="S84:S100" ca="1" si="12">RANDBETWEEN(20,24)</f>
        <v>21</v>
      </c>
    </row>
    <row r="85" spans="1:19" x14ac:dyDescent="0.25">
      <c r="A85" s="2">
        <v>168</v>
      </c>
      <c r="B85" s="2" t="str">
        <f>"MR-"&amp;Таблица14[[#This Row],[ID]]</f>
        <v>MR-168</v>
      </c>
      <c r="C85" s="2">
        <v>5</v>
      </c>
      <c r="D85" s="3" t="s">
        <v>71</v>
      </c>
      <c r="E85" s="9">
        <f ca="1">Таблица14[[#Headers],[01.май]]+RANDBETWEEN(1,3)+E84-Таблица14[[#Headers],[01.май]]</f>
        <v>43778</v>
      </c>
      <c r="F85" s="9">
        <f ca="1">Таблица14[[#This Row],[01.май]]+RANDBETWEEN(1,10)</f>
        <v>43788</v>
      </c>
      <c r="G85" s="2">
        <v>2</v>
      </c>
      <c r="H85">
        <f t="shared" ca="1" si="9"/>
        <v>4</v>
      </c>
      <c r="I85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4</v>
      </c>
      <c r="J85" s="2">
        <f ca="1">Таблица14[[#This Row],[Трудоемкость исходная]]</f>
        <v>4</v>
      </c>
      <c r="K85" s="2">
        <f t="shared" ca="1" si="10"/>
        <v>4</v>
      </c>
      <c r="L85" s="2">
        <f>VLOOKUP(Таблица14[[#This Row],[Release]],Релизы!A:B,2,FALSE)</f>
        <v>2</v>
      </c>
      <c r="M85" s="2" t="s">
        <v>146</v>
      </c>
      <c r="N85" s="2">
        <v>10</v>
      </c>
      <c r="O85" s="2">
        <f t="shared" ca="1" si="11"/>
        <v>0</v>
      </c>
      <c r="P85" s="2">
        <v>16</v>
      </c>
      <c r="Q85" s="2">
        <f>Таблица14[[#This Row],[ID]]</f>
        <v>168</v>
      </c>
      <c r="R85" s="2">
        <v>7</v>
      </c>
      <c r="S85" s="2">
        <f t="shared" ca="1" si="12"/>
        <v>21</v>
      </c>
    </row>
    <row r="86" spans="1:19" x14ac:dyDescent="0.25">
      <c r="A86" s="2">
        <v>170</v>
      </c>
      <c r="B86" s="2" t="str">
        <f>"MR-"&amp;Таблица14[[#This Row],[ID]]</f>
        <v>MR-170</v>
      </c>
      <c r="C86" s="2">
        <v>3</v>
      </c>
      <c r="D86" s="3" t="s">
        <v>72</v>
      </c>
      <c r="E86" s="9">
        <f ca="1">Таблица14[[#Headers],[01.май]]+RANDBETWEEN(1,3)+E85-Таблица14[[#Headers],[01.май]]</f>
        <v>43780</v>
      </c>
      <c r="F86" s="9">
        <f ca="1">Таблица14[[#This Row],[01.май]]+RANDBETWEEN(1,10)</f>
        <v>43788</v>
      </c>
      <c r="G86" s="2">
        <v>2</v>
      </c>
      <c r="H86">
        <f t="shared" ca="1" si="9"/>
        <v>8</v>
      </c>
      <c r="I86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7</v>
      </c>
      <c r="J86" s="2">
        <f ca="1">Таблица14[[#This Row],[Трудоемкость исходная]]</f>
        <v>8</v>
      </c>
      <c r="K86" s="2">
        <f t="shared" ca="1" si="10"/>
        <v>4</v>
      </c>
      <c r="L86" s="2">
        <f>VLOOKUP(Таблица14[[#This Row],[Release]],Релизы!A:B,2,FALSE)</f>
        <v>2</v>
      </c>
      <c r="M86" s="2" t="s">
        <v>146</v>
      </c>
      <c r="N86" s="2">
        <v>10</v>
      </c>
      <c r="O86" s="2">
        <f t="shared" ca="1" si="11"/>
        <v>1</v>
      </c>
      <c r="P86" s="2">
        <v>16</v>
      </c>
      <c r="Q86" s="2">
        <f>Таблица14[[#This Row],[ID]]</f>
        <v>170</v>
      </c>
      <c r="R86" s="2">
        <v>7</v>
      </c>
      <c r="S86" s="2">
        <f t="shared" ca="1" si="12"/>
        <v>20</v>
      </c>
    </row>
    <row r="87" spans="1:19" x14ac:dyDescent="0.25">
      <c r="A87" s="2">
        <v>172</v>
      </c>
      <c r="B87" s="2" t="str">
        <f>"MR-"&amp;Таблица14[[#This Row],[ID]]</f>
        <v>MR-172</v>
      </c>
      <c r="C87" s="2">
        <v>5</v>
      </c>
      <c r="D87" s="3" t="s">
        <v>73</v>
      </c>
      <c r="E87" s="9">
        <f ca="1">Таблица14[[#Headers],[01.май]]+RANDBETWEEN(1,3)+E86-Таблица14[[#Headers],[01.май]]</f>
        <v>43781</v>
      </c>
      <c r="F87" s="9">
        <f ca="1">Таблица14[[#This Row],[01.май]]+RANDBETWEEN(1,10)</f>
        <v>43785</v>
      </c>
      <c r="G87" s="2">
        <v>2</v>
      </c>
      <c r="H87">
        <f t="shared" ca="1" si="9"/>
        <v>2</v>
      </c>
      <c r="I87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2</v>
      </c>
      <c r="J87" s="2">
        <f ca="1">Таблица14[[#This Row],[Трудоемкость исходная]]</f>
        <v>2</v>
      </c>
      <c r="K87" s="2">
        <f t="shared" ca="1" si="10"/>
        <v>6</v>
      </c>
      <c r="L87" s="2">
        <f>VLOOKUP(Таблица14[[#This Row],[Release]],Релизы!A:B,2,FALSE)</f>
        <v>2</v>
      </c>
      <c r="M87" s="2" t="s">
        <v>146</v>
      </c>
      <c r="N87" s="2">
        <v>10</v>
      </c>
      <c r="O87" s="2">
        <f t="shared" ca="1" si="11"/>
        <v>1</v>
      </c>
      <c r="P87" s="2">
        <v>16</v>
      </c>
      <c r="Q87" s="2">
        <f>Таблица14[[#This Row],[ID]]</f>
        <v>172</v>
      </c>
      <c r="R87" s="2">
        <v>7</v>
      </c>
      <c r="S87" s="2">
        <f t="shared" ca="1" si="12"/>
        <v>22</v>
      </c>
    </row>
    <row r="88" spans="1:19" x14ac:dyDescent="0.25">
      <c r="A88" s="2">
        <v>174</v>
      </c>
      <c r="B88" s="2" t="str">
        <f>"MR-"&amp;Таблица14[[#This Row],[ID]]</f>
        <v>MR-174</v>
      </c>
      <c r="C88" s="2">
        <v>5</v>
      </c>
      <c r="D88" s="3" t="s">
        <v>74</v>
      </c>
      <c r="E88" s="9">
        <f ca="1">Таблица14[[#Headers],[01.май]]+RANDBETWEEN(1,3)+E87-Таблица14[[#Headers],[01.май]]</f>
        <v>43782</v>
      </c>
      <c r="F88" s="9">
        <f ca="1">Таблица14[[#This Row],[01.май]]+RANDBETWEEN(1,10)</f>
        <v>43790</v>
      </c>
      <c r="G88" s="2">
        <v>2</v>
      </c>
      <c r="H88">
        <f t="shared" ca="1" si="9"/>
        <v>1</v>
      </c>
      <c r="I88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1</v>
      </c>
      <c r="J88" s="2">
        <f ca="1">Таблица14[[#This Row],[Трудоемкость исходная]]</f>
        <v>1</v>
      </c>
      <c r="K88" s="2">
        <f t="shared" ca="1" si="10"/>
        <v>6</v>
      </c>
      <c r="L88" s="2">
        <f>VLOOKUP(Таблица14[[#This Row],[Release]],Релизы!A:B,2,FALSE)</f>
        <v>2</v>
      </c>
      <c r="M88" s="2" t="s">
        <v>146</v>
      </c>
      <c r="N88" s="2">
        <v>10</v>
      </c>
      <c r="O88" s="2">
        <f t="shared" ca="1" si="11"/>
        <v>0</v>
      </c>
      <c r="P88" s="2">
        <v>16</v>
      </c>
      <c r="Q88" s="2">
        <f>Таблица14[[#This Row],[ID]]</f>
        <v>174</v>
      </c>
      <c r="R88" s="2">
        <v>7</v>
      </c>
      <c r="S88" s="2">
        <f t="shared" ca="1" si="12"/>
        <v>21</v>
      </c>
    </row>
    <row r="89" spans="1:19" x14ac:dyDescent="0.25">
      <c r="A89" s="2">
        <v>176</v>
      </c>
      <c r="B89" s="2" t="str">
        <f>"MR-"&amp;Таблица14[[#This Row],[ID]]</f>
        <v>MR-176</v>
      </c>
      <c r="C89" s="2">
        <v>2</v>
      </c>
      <c r="D89" s="3" t="s">
        <v>75</v>
      </c>
      <c r="E89" s="9">
        <f ca="1">Таблица14[[#Headers],[01.май]]+RANDBETWEEN(1,3)+E88-Таблица14[[#Headers],[01.май]]</f>
        <v>43783</v>
      </c>
      <c r="F89" s="9">
        <f ca="1">Таблица14[[#This Row],[01.май]]+RANDBETWEEN(1,10)</f>
        <v>43787</v>
      </c>
      <c r="G89" s="2">
        <v>2</v>
      </c>
      <c r="H89">
        <f t="shared" ca="1" si="9"/>
        <v>3</v>
      </c>
      <c r="I89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3</v>
      </c>
      <c r="J89" s="2">
        <f ca="1">Таблица14[[#This Row],[Трудоемкость исходная]]</f>
        <v>3</v>
      </c>
      <c r="K89" s="2">
        <f t="shared" ca="1" si="10"/>
        <v>5</v>
      </c>
      <c r="L89" s="2">
        <f>VLOOKUP(Таблица14[[#This Row],[Release]],Релизы!A:B,2,FALSE)</f>
        <v>2</v>
      </c>
      <c r="M89" s="2" t="s">
        <v>146</v>
      </c>
      <c r="N89" s="2">
        <v>10</v>
      </c>
      <c r="O89" s="2">
        <f t="shared" ca="1" si="11"/>
        <v>0</v>
      </c>
      <c r="P89" s="2">
        <v>16</v>
      </c>
      <c r="Q89" s="2">
        <f>Таблица14[[#This Row],[ID]]</f>
        <v>176</v>
      </c>
      <c r="R89" s="2">
        <v>7</v>
      </c>
      <c r="S89" s="2">
        <f t="shared" ca="1" si="12"/>
        <v>21</v>
      </c>
    </row>
    <row r="90" spans="1:19" x14ac:dyDescent="0.25">
      <c r="A90" s="2">
        <v>178</v>
      </c>
      <c r="B90" s="2" t="str">
        <f>"MR-"&amp;Таблица14[[#This Row],[ID]]</f>
        <v>MR-178</v>
      </c>
      <c r="C90" s="2">
        <v>3</v>
      </c>
      <c r="D90" s="3" t="s">
        <v>76</v>
      </c>
      <c r="E90" s="9">
        <f ca="1">Таблица14[[#Headers],[01.май]]+RANDBETWEEN(1,3)+E89-Таблица14[[#Headers],[01.май]]</f>
        <v>43786</v>
      </c>
      <c r="F90" s="9">
        <f ca="1">Таблица14[[#This Row],[01.май]]+RANDBETWEEN(1,10)</f>
        <v>43794</v>
      </c>
      <c r="G90" s="2">
        <v>2</v>
      </c>
      <c r="H90">
        <f t="shared" ca="1" si="9"/>
        <v>4</v>
      </c>
      <c r="I90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4</v>
      </c>
      <c r="J90" s="2">
        <f ca="1">Таблица14[[#This Row],[Трудоемкость исходная]]</f>
        <v>4</v>
      </c>
      <c r="K90" s="2">
        <f t="shared" ca="1" si="10"/>
        <v>5</v>
      </c>
      <c r="L90" s="2">
        <f>VLOOKUP(Таблица14[[#This Row],[Release]],Релизы!A:B,2,FALSE)</f>
        <v>2</v>
      </c>
      <c r="M90" s="2" t="s">
        <v>146</v>
      </c>
      <c r="N90" s="2">
        <v>10</v>
      </c>
      <c r="O90" s="2">
        <f t="shared" ca="1" si="11"/>
        <v>0</v>
      </c>
      <c r="P90" s="2">
        <v>16</v>
      </c>
      <c r="Q90" s="2">
        <f>Таблица14[[#This Row],[ID]]</f>
        <v>178</v>
      </c>
      <c r="R90" s="2">
        <v>7</v>
      </c>
      <c r="S90" s="2">
        <f t="shared" ca="1" si="12"/>
        <v>20</v>
      </c>
    </row>
    <row r="91" spans="1:19" x14ac:dyDescent="0.25">
      <c r="A91" s="2">
        <v>180</v>
      </c>
      <c r="B91" s="2" t="str">
        <f>"MR-"&amp;Таблица14[[#This Row],[ID]]</f>
        <v>MR-180</v>
      </c>
      <c r="C91" s="2">
        <v>2</v>
      </c>
      <c r="D91" s="3" t="s">
        <v>223</v>
      </c>
      <c r="E91" s="9">
        <f ca="1">Таблица14[[#Headers],[01.май]]+RANDBETWEEN(1,3)+E90-Таблица14[[#Headers],[01.май]]</f>
        <v>43789</v>
      </c>
      <c r="F91" s="9">
        <f ca="1">Таблица14[[#This Row],[01.май]]+RANDBETWEEN(1,10)</f>
        <v>43798</v>
      </c>
      <c r="G91" s="2">
        <v>2</v>
      </c>
      <c r="H91">
        <f t="shared" ca="1" si="9"/>
        <v>9</v>
      </c>
      <c r="I91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8</v>
      </c>
      <c r="J91" s="2">
        <f ca="1">Таблица14[[#This Row],[Трудоемкость исходная]]</f>
        <v>9</v>
      </c>
      <c r="K91" s="2">
        <f t="shared" ca="1" si="10"/>
        <v>6</v>
      </c>
      <c r="L91" s="2">
        <f>VLOOKUP(Таблица14[[#This Row],[Release]],Релизы!A:B,2,FALSE)</f>
        <v>2</v>
      </c>
      <c r="M91" s="2" t="s">
        <v>146</v>
      </c>
      <c r="N91" s="2">
        <v>10</v>
      </c>
      <c r="O91" s="2">
        <f t="shared" ca="1" si="11"/>
        <v>0</v>
      </c>
      <c r="P91" s="2">
        <v>16</v>
      </c>
      <c r="Q91" s="2">
        <f>Таблица14[[#This Row],[ID]]</f>
        <v>180</v>
      </c>
      <c r="R91" s="2">
        <v>7</v>
      </c>
      <c r="S91" s="2">
        <f t="shared" ca="1" si="12"/>
        <v>20</v>
      </c>
    </row>
    <row r="92" spans="1:19" x14ac:dyDescent="0.25">
      <c r="A92" s="2">
        <v>182</v>
      </c>
      <c r="B92" s="2" t="str">
        <f>"MR-"&amp;Таблица14[[#This Row],[ID]]</f>
        <v>MR-182</v>
      </c>
      <c r="C92" s="2">
        <v>5</v>
      </c>
      <c r="D92" s="3" t="s">
        <v>224</v>
      </c>
      <c r="E92" s="9">
        <f ca="1">Таблица14[[#Headers],[01.май]]+RANDBETWEEN(1,3)+E91-Таблица14[[#Headers],[01.май]]</f>
        <v>43791</v>
      </c>
      <c r="F92" s="9">
        <f ca="1">Таблица14[[#This Row],[01.май]]+RANDBETWEEN(1,10)</f>
        <v>43797</v>
      </c>
      <c r="G92" s="2">
        <v>1</v>
      </c>
      <c r="H92">
        <f t="shared" ca="1" si="9"/>
        <v>1</v>
      </c>
      <c r="I92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1</v>
      </c>
      <c r="J92" s="2">
        <f ca="1">Таблица14[[#This Row],[Трудоемкость исходная]]</f>
        <v>1</v>
      </c>
      <c r="K92" s="2">
        <f t="shared" ca="1" si="10"/>
        <v>4</v>
      </c>
      <c r="L92" s="2">
        <f>VLOOKUP(Таблица14[[#This Row],[Release]],Релизы!A:B,2,FALSE)</f>
        <v>2</v>
      </c>
      <c r="M92" s="2" t="s">
        <v>146</v>
      </c>
      <c r="N92" s="2">
        <v>10</v>
      </c>
      <c r="O92" s="2">
        <f t="shared" ca="1" si="11"/>
        <v>1</v>
      </c>
      <c r="P92" s="2">
        <v>16</v>
      </c>
      <c r="Q92" s="2">
        <f>Таблица14[[#This Row],[ID]]</f>
        <v>182</v>
      </c>
      <c r="R92" s="2">
        <v>7</v>
      </c>
      <c r="S92" s="2">
        <f t="shared" ca="1" si="12"/>
        <v>21</v>
      </c>
    </row>
    <row r="93" spans="1:19" x14ac:dyDescent="0.25">
      <c r="A93" s="2">
        <v>184</v>
      </c>
      <c r="B93" s="2" t="str">
        <f>"MR-"&amp;Таблица14[[#This Row],[ID]]</f>
        <v>MR-184</v>
      </c>
      <c r="C93" s="2">
        <v>4</v>
      </c>
      <c r="D93" s="3" t="s">
        <v>77</v>
      </c>
      <c r="E93" s="9">
        <f ca="1">Таблица14[[#Headers],[01.май]]+RANDBETWEEN(1,3)+E92-Таблица14[[#Headers],[01.май]]</f>
        <v>43792</v>
      </c>
      <c r="F93" s="9">
        <f ca="1">Таблица14[[#This Row],[01.май]]+RANDBETWEEN(1,10)</f>
        <v>43802</v>
      </c>
      <c r="G93" s="2">
        <v>1</v>
      </c>
      <c r="H93">
        <f t="shared" ca="1" si="9"/>
        <v>3</v>
      </c>
      <c r="I93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3</v>
      </c>
      <c r="J93" s="2">
        <f ca="1">Таблица14[[#This Row],[Трудоемкость исходная]]</f>
        <v>3</v>
      </c>
      <c r="K93" s="2">
        <f t="shared" ca="1" si="10"/>
        <v>4</v>
      </c>
      <c r="L93" s="2">
        <f>VLOOKUP(Таблица14[[#This Row],[Release]],Релизы!A:B,2,FALSE)</f>
        <v>2</v>
      </c>
      <c r="M93" s="2" t="s">
        <v>146</v>
      </c>
      <c r="N93" s="2">
        <v>10</v>
      </c>
      <c r="O93" s="2">
        <f t="shared" ca="1" si="11"/>
        <v>0</v>
      </c>
      <c r="P93" s="2">
        <v>16</v>
      </c>
      <c r="Q93" s="2">
        <f>Таблица14[[#This Row],[ID]]</f>
        <v>184</v>
      </c>
      <c r="R93" s="2">
        <v>7</v>
      </c>
      <c r="S93" s="2">
        <f t="shared" ca="1" si="12"/>
        <v>24</v>
      </c>
    </row>
    <row r="94" spans="1:19" x14ac:dyDescent="0.25">
      <c r="A94" s="2">
        <v>186</v>
      </c>
      <c r="B94" s="2" t="str">
        <f>"MR-"&amp;Таблица14[[#This Row],[ID]]</f>
        <v>MR-186</v>
      </c>
      <c r="C94" s="2">
        <v>1</v>
      </c>
      <c r="D94" s="3" t="s">
        <v>78</v>
      </c>
      <c r="E94" s="9">
        <f ca="1">Таблица14[[#Headers],[01.май]]+RANDBETWEEN(1,3)+E93-Таблица14[[#Headers],[01.май]]</f>
        <v>43793</v>
      </c>
      <c r="F94" s="9">
        <f ca="1">Таблица14[[#This Row],[01.май]]+RANDBETWEEN(1,10)</f>
        <v>43794</v>
      </c>
      <c r="G94" s="2">
        <v>1</v>
      </c>
      <c r="H94">
        <f t="shared" ca="1" si="9"/>
        <v>4</v>
      </c>
      <c r="I94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4</v>
      </c>
      <c r="J94" s="2">
        <f ca="1">Таблица14[[#This Row],[Трудоемкость исходная]]</f>
        <v>4</v>
      </c>
      <c r="K94" s="2">
        <f t="shared" ca="1" si="10"/>
        <v>5</v>
      </c>
      <c r="L94" s="2">
        <f>VLOOKUP(Таблица14[[#This Row],[Release]],Релизы!A:B,2,FALSE)</f>
        <v>2</v>
      </c>
      <c r="M94" s="2" t="s">
        <v>146</v>
      </c>
      <c r="N94" s="2">
        <v>10</v>
      </c>
      <c r="O94" s="2">
        <f t="shared" ca="1" si="11"/>
        <v>0</v>
      </c>
      <c r="P94" s="2">
        <v>16</v>
      </c>
      <c r="Q94" s="2">
        <f>Таблица14[[#This Row],[ID]]</f>
        <v>186</v>
      </c>
      <c r="R94" s="2">
        <v>7</v>
      </c>
      <c r="S94" s="2">
        <f t="shared" ca="1" si="12"/>
        <v>20</v>
      </c>
    </row>
    <row r="95" spans="1:19" x14ac:dyDescent="0.25">
      <c r="A95" s="2">
        <v>188</v>
      </c>
      <c r="B95" s="2" t="str">
        <f>"MR-"&amp;Таблица14[[#This Row],[ID]]</f>
        <v>MR-188</v>
      </c>
      <c r="C95" s="2">
        <v>3</v>
      </c>
      <c r="D95" s="3" t="s">
        <v>79</v>
      </c>
      <c r="E95" s="9">
        <f ca="1">Таблица14[[#Headers],[01.май]]+RANDBETWEEN(1,3)+E94-Таблица14[[#Headers],[01.май]]</f>
        <v>43795</v>
      </c>
      <c r="F95" s="9">
        <f ca="1">Таблица14[[#This Row],[01.май]]+RANDBETWEEN(1,10)</f>
        <v>43798</v>
      </c>
      <c r="G95" s="2">
        <v>1</v>
      </c>
      <c r="H95">
        <f t="shared" ca="1" si="9"/>
        <v>3</v>
      </c>
      <c r="I95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3</v>
      </c>
      <c r="J95" s="2">
        <f ca="1">Таблица14[[#This Row],[Трудоемкость исходная]]</f>
        <v>3</v>
      </c>
      <c r="K95" s="2">
        <f t="shared" ca="1" si="10"/>
        <v>6</v>
      </c>
      <c r="L95" s="2">
        <f>VLOOKUP(Таблица14[[#This Row],[Release]],Релизы!A:B,2,FALSE)</f>
        <v>2</v>
      </c>
      <c r="M95" s="2" t="s">
        <v>146</v>
      </c>
      <c r="N95" s="2">
        <v>10</v>
      </c>
      <c r="O95" s="2">
        <f t="shared" ca="1" si="11"/>
        <v>0</v>
      </c>
      <c r="P95" s="2">
        <v>16</v>
      </c>
      <c r="Q95" s="2">
        <f>Таблица14[[#This Row],[ID]]</f>
        <v>188</v>
      </c>
      <c r="R95" s="2">
        <v>7</v>
      </c>
      <c r="S95" s="2">
        <f t="shared" ca="1" si="12"/>
        <v>24</v>
      </c>
    </row>
    <row r="96" spans="1:19" x14ac:dyDescent="0.25">
      <c r="A96" s="2">
        <v>190</v>
      </c>
      <c r="B96" s="2" t="str">
        <f>"MR-"&amp;Таблица14[[#This Row],[ID]]</f>
        <v>MR-190</v>
      </c>
      <c r="C96" s="2">
        <v>5</v>
      </c>
      <c r="D96" s="3" t="s">
        <v>225</v>
      </c>
      <c r="E96" s="9">
        <f ca="1">Таблица14[[#Headers],[01.май]]+RANDBETWEEN(1,3)+E95-Таблица14[[#Headers],[01.май]]</f>
        <v>43797</v>
      </c>
      <c r="F96" s="9">
        <f ca="1">Таблица14[[#This Row],[01.май]]+RANDBETWEEN(1,10)</f>
        <v>43802</v>
      </c>
      <c r="G96" s="2">
        <v>1</v>
      </c>
      <c r="H96">
        <f t="shared" ca="1" si="9"/>
        <v>3</v>
      </c>
      <c r="I96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3</v>
      </c>
      <c r="J96" s="2">
        <f ca="1">Таблица14[[#This Row],[Трудоемкость исходная]]</f>
        <v>3</v>
      </c>
      <c r="K96" s="2">
        <f t="shared" ca="1" si="10"/>
        <v>6</v>
      </c>
      <c r="L96" s="2">
        <f>VLOOKUP(Таблица14[[#This Row],[Release]],Релизы!A:B,2,FALSE)</f>
        <v>2</v>
      </c>
      <c r="M96" s="2" t="s">
        <v>146</v>
      </c>
      <c r="N96" s="2">
        <v>10</v>
      </c>
      <c r="O96" s="2">
        <f t="shared" ca="1" si="11"/>
        <v>0</v>
      </c>
      <c r="P96" s="2">
        <v>16</v>
      </c>
      <c r="Q96" s="2">
        <f>Таблица14[[#This Row],[ID]]</f>
        <v>190</v>
      </c>
      <c r="R96" s="2">
        <v>7</v>
      </c>
      <c r="S96" s="2">
        <f t="shared" ca="1" si="12"/>
        <v>24</v>
      </c>
    </row>
    <row r="97" spans="1:19" x14ac:dyDescent="0.25">
      <c r="A97" s="2">
        <v>192</v>
      </c>
      <c r="B97" s="2" t="str">
        <f>"MR-"&amp;Таблица14[[#This Row],[ID]]</f>
        <v>MR-192</v>
      </c>
      <c r="C97" s="2">
        <v>3</v>
      </c>
      <c r="D97" s="3" t="s">
        <v>226</v>
      </c>
      <c r="E97" s="9">
        <f ca="1">Таблица14[[#Headers],[01.май]]+RANDBETWEEN(1,3)+E96-Таблица14[[#Headers],[01.май]]</f>
        <v>43798</v>
      </c>
      <c r="F97" s="9">
        <f ca="1">Таблица14[[#This Row],[01.май]]+RANDBETWEEN(1,10)</f>
        <v>43801</v>
      </c>
      <c r="G97" s="2">
        <v>1</v>
      </c>
      <c r="H97">
        <f t="shared" ca="1" si="9"/>
        <v>2</v>
      </c>
      <c r="I97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2</v>
      </c>
      <c r="J97" s="2">
        <f ca="1">Таблица14[[#This Row],[Трудоемкость исходная]]</f>
        <v>2</v>
      </c>
      <c r="K97" s="2">
        <f t="shared" ca="1" si="10"/>
        <v>5</v>
      </c>
      <c r="L97" s="2">
        <f>VLOOKUP(Таблица14[[#This Row],[Release]],Релизы!A:B,2,FALSE)</f>
        <v>2</v>
      </c>
      <c r="M97" s="2" t="s">
        <v>146</v>
      </c>
      <c r="N97" s="2">
        <v>10</v>
      </c>
      <c r="O97" s="2">
        <f t="shared" ca="1" si="11"/>
        <v>0</v>
      </c>
      <c r="P97" s="2">
        <v>16</v>
      </c>
      <c r="Q97" s="2">
        <f>Таблица14[[#This Row],[ID]]</f>
        <v>192</v>
      </c>
      <c r="R97" s="2">
        <v>7</v>
      </c>
      <c r="S97" s="2">
        <f t="shared" ca="1" si="12"/>
        <v>22</v>
      </c>
    </row>
    <row r="98" spans="1:19" x14ac:dyDescent="0.25">
      <c r="A98" s="2">
        <v>194</v>
      </c>
      <c r="B98" s="2" t="str">
        <f>"MR-"&amp;Таблица14[[#This Row],[ID]]</f>
        <v>MR-194</v>
      </c>
      <c r="C98" s="2">
        <v>2</v>
      </c>
      <c r="D98" s="3" t="s">
        <v>227</v>
      </c>
      <c r="E98" s="9">
        <f ca="1">Таблица14[[#Headers],[01.май]]+RANDBETWEEN(1,3)+E97-Таблица14[[#Headers],[01.май]]</f>
        <v>43799</v>
      </c>
      <c r="F98" s="9">
        <f ca="1">Таблица14[[#This Row],[01.май]]+RANDBETWEEN(1,10)</f>
        <v>43801</v>
      </c>
      <c r="G98" s="2">
        <v>1</v>
      </c>
      <c r="H98">
        <f t="shared" ca="1" si="9"/>
        <v>5</v>
      </c>
      <c r="I98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5</v>
      </c>
      <c r="J98" s="2">
        <f ca="1">Таблица14[[#This Row],[Трудоемкость исходная]]</f>
        <v>5</v>
      </c>
      <c r="K98" s="2">
        <f t="shared" ca="1" si="10"/>
        <v>4</v>
      </c>
      <c r="L98" s="2">
        <f>VLOOKUP(Таблица14[[#This Row],[Release]],Релизы!A:B,2,FALSE)</f>
        <v>2</v>
      </c>
      <c r="M98" s="2" t="s">
        <v>146</v>
      </c>
      <c r="N98" s="2">
        <v>10</v>
      </c>
      <c r="O98" s="2">
        <f t="shared" ca="1" si="11"/>
        <v>0</v>
      </c>
      <c r="P98" s="2">
        <v>16</v>
      </c>
      <c r="Q98" s="2">
        <f>Таблица14[[#This Row],[ID]]</f>
        <v>194</v>
      </c>
      <c r="R98" s="2">
        <v>7</v>
      </c>
      <c r="S98" s="2">
        <f t="shared" ca="1" si="12"/>
        <v>24</v>
      </c>
    </row>
    <row r="99" spans="1:19" x14ac:dyDescent="0.25">
      <c r="A99" s="2">
        <v>196</v>
      </c>
      <c r="B99" s="2" t="str">
        <f>"MR-"&amp;Таблица14[[#This Row],[ID]]</f>
        <v>MR-196</v>
      </c>
      <c r="C99" s="2">
        <v>1</v>
      </c>
      <c r="D99" s="3" t="s">
        <v>80</v>
      </c>
      <c r="E99" s="9">
        <f ca="1">Таблица14[[#Headers],[01.май]]+RANDBETWEEN(1,3)+E98-Таблица14[[#Headers],[01.май]]</f>
        <v>43802</v>
      </c>
      <c r="F99" s="9">
        <f ca="1">Таблица14[[#This Row],[01.май]]+RANDBETWEEN(1,10)</f>
        <v>43805</v>
      </c>
      <c r="G99" s="2">
        <v>1</v>
      </c>
      <c r="H99">
        <f t="shared" ca="1" si="9"/>
        <v>8</v>
      </c>
      <c r="I99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7</v>
      </c>
      <c r="J99" s="2">
        <f ca="1">Таблица14[[#This Row],[Трудоемкость исходная]]</f>
        <v>8</v>
      </c>
      <c r="K99" s="2">
        <f t="shared" ca="1" si="10"/>
        <v>4</v>
      </c>
      <c r="L99" s="2">
        <f>VLOOKUP(Таблица14[[#This Row],[Release]],Релизы!A:B,2,FALSE)</f>
        <v>2</v>
      </c>
      <c r="M99" s="2" t="s">
        <v>146</v>
      </c>
      <c r="N99" s="2">
        <v>10</v>
      </c>
      <c r="O99" s="2">
        <f t="shared" ca="1" si="11"/>
        <v>0</v>
      </c>
      <c r="P99" s="2">
        <v>16</v>
      </c>
      <c r="Q99" s="2">
        <f>Таблица14[[#This Row],[ID]]</f>
        <v>196</v>
      </c>
      <c r="R99" s="2">
        <v>7</v>
      </c>
      <c r="S99" s="2">
        <f t="shared" ca="1" si="12"/>
        <v>24</v>
      </c>
    </row>
    <row r="100" spans="1:19" x14ac:dyDescent="0.25">
      <c r="A100" s="2">
        <v>198</v>
      </c>
      <c r="B100" s="2" t="str">
        <f>"MR-"&amp;Таблица14[[#This Row],[ID]]</f>
        <v>MR-198</v>
      </c>
      <c r="C100" s="2">
        <v>5</v>
      </c>
      <c r="D100" s="3" t="s">
        <v>81</v>
      </c>
      <c r="E100" s="9">
        <f ca="1">Таблица14[[#Headers],[01.май]]+RANDBETWEEN(1,3)+E99-Таблица14[[#Headers],[01.май]]</f>
        <v>43804</v>
      </c>
      <c r="F100" s="9">
        <f ca="1">Таблица14[[#This Row],[01.май]]+RANDBETWEEN(1,10)</f>
        <v>43809</v>
      </c>
      <c r="G100" s="2">
        <v>1</v>
      </c>
      <c r="H100">
        <f t="shared" ca="1" si="9"/>
        <v>9</v>
      </c>
      <c r="I100" s="2">
        <f ca="1">Таблица14[[#This Row],[Трудоемкость исходная]]+RANDBETWEEN(-Таблица14[[#This Row],[Трудоемкость исходная]]/6,-Таблица14[[#This Row],[Трудоемкость исходная]]/6)</f>
        <v>8</v>
      </c>
      <c r="J100" s="2">
        <f ca="1">Таблица14[[#This Row],[Трудоемкость исходная]]</f>
        <v>9</v>
      </c>
      <c r="K100" s="2">
        <f t="shared" ca="1" si="10"/>
        <v>6</v>
      </c>
      <c r="L100" s="2">
        <f>VLOOKUP(Таблица14[[#This Row],[Release]],Релизы!A:B,2,FALSE)</f>
        <v>2</v>
      </c>
      <c r="M100" s="2" t="s">
        <v>146</v>
      </c>
      <c r="N100" s="2">
        <v>10</v>
      </c>
      <c r="O100" s="2">
        <f t="shared" ca="1" si="11"/>
        <v>0</v>
      </c>
      <c r="P100" s="2">
        <v>16</v>
      </c>
      <c r="Q100" s="2">
        <f>Таблица14[[#This Row],[ID]]</f>
        <v>198</v>
      </c>
      <c r="R100" s="2">
        <v>7</v>
      </c>
      <c r="S100" s="2">
        <f t="shared" ca="1" si="12"/>
        <v>24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B4CC40-B1C7-4CA5-A8FA-728D8E5D05B9}">
  <sheetPr codeName="Лист10"/>
  <dimension ref="A1:H25"/>
  <sheetViews>
    <sheetView workbookViewId="0">
      <selection activeCell="E9" sqref="E9"/>
    </sheetView>
  </sheetViews>
  <sheetFormatPr defaultRowHeight="15" x14ac:dyDescent="0.25"/>
  <cols>
    <col min="2" max="3" width="11.85546875" customWidth="1"/>
    <col min="4" max="4" width="17.28515625" bestFit="1" customWidth="1"/>
    <col min="5" max="5" width="22.5703125" bestFit="1" customWidth="1"/>
    <col min="6" max="6" width="20.140625" bestFit="1" customWidth="1"/>
    <col min="7" max="7" width="22.85546875" bestFit="1" customWidth="1"/>
    <col min="8" max="8" width="11.85546875" customWidth="1"/>
    <col min="10" max="10" width="17.28515625" bestFit="1" customWidth="1"/>
    <col min="11" max="11" width="9.5703125" bestFit="1" customWidth="1"/>
  </cols>
  <sheetData>
    <row r="1" spans="1:8" x14ac:dyDescent="0.25">
      <c r="A1" t="s">
        <v>114</v>
      </c>
      <c r="B1" t="s">
        <v>116</v>
      </c>
      <c r="C1" t="s">
        <v>107</v>
      </c>
      <c r="D1" t="s">
        <v>129</v>
      </c>
      <c r="E1" t="s">
        <v>130</v>
      </c>
      <c r="F1" t="s">
        <v>131</v>
      </c>
      <c r="G1" t="s">
        <v>132</v>
      </c>
      <c r="H1" t="s">
        <v>115</v>
      </c>
    </row>
    <row r="2" spans="1:8" x14ac:dyDescent="0.25">
      <c r="A2">
        <v>1</v>
      </c>
      <c r="B2" t="s">
        <v>146</v>
      </c>
      <c r="C2" t="s">
        <v>117</v>
      </c>
      <c r="G2">
        <f>VLOOKUP(Таблица2[[#This Row],[Id]],'Сводные данные'!O:P,2,FALSE)</f>
        <v>13</v>
      </c>
    </row>
    <row r="3" spans="1:8" x14ac:dyDescent="0.25">
      <c r="A3">
        <v>2</v>
      </c>
      <c r="B3" t="s">
        <v>146</v>
      </c>
      <c r="C3" t="s">
        <v>118</v>
      </c>
      <c r="G3">
        <f>VLOOKUP(Таблица2[[#This Row],[Id]],'Сводные данные'!O:P,2,FALSE)</f>
        <v>21</v>
      </c>
    </row>
    <row r="4" spans="1:8" x14ac:dyDescent="0.25">
      <c r="A4">
        <v>3</v>
      </c>
      <c r="B4" t="s">
        <v>146</v>
      </c>
      <c r="C4" t="s">
        <v>119</v>
      </c>
      <c r="G4">
        <f>VLOOKUP(Таблица2[[#This Row],[Id]],'Сводные данные'!O:P,2,FALSE)</f>
        <v>44</v>
      </c>
    </row>
    <row r="5" spans="1:8" x14ac:dyDescent="0.25">
      <c r="A5">
        <v>4</v>
      </c>
      <c r="B5" t="s">
        <v>146</v>
      </c>
      <c r="C5" t="s">
        <v>120</v>
      </c>
      <c r="G5">
        <f>VLOOKUP(Таблица2[[#This Row],[Id]],'Сводные данные'!O:P,2,FALSE)</f>
        <v>62</v>
      </c>
    </row>
    <row r="6" spans="1:8" x14ac:dyDescent="0.25">
      <c r="A6">
        <v>5</v>
      </c>
      <c r="B6" t="s">
        <v>146</v>
      </c>
      <c r="C6" t="s">
        <v>121</v>
      </c>
      <c r="G6">
        <f>VLOOKUP(Таблица2[[#This Row],[Id]],'Сводные данные'!O:P,2,FALSE)</f>
        <v>54</v>
      </c>
    </row>
    <row r="7" spans="1:8" x14ac:dyDescent="0.25">
      <c r="A7">
        <v>6</v>
      </c>
      <c r="B7" t="s">
        <v>146</v>
      </c>
      <c r="C7" t="s">
        <v>122</v>
      </c>
      <c r="G7">
        <f>VLOOKUP(Таблица2[[#This Row],[Id]],'Сводные данные'!O:P,2,FALSE)</f>
        <v>74</v>
      </c>
    </row>
    <row r="8" spans="1:8" x14ac:dyDescent="0.25">
      <c r="A8">
        <v>7</v>
      </c>
      <c r="B8" t="s">
        <v>146</v>
      </c>
      <c r="C8" t="s">
        <v>123</v>
      </c>
      <c r="G8">
        <f>VLOOKUP(Таблица2[[#This Row],[Id]],'Сводные данные'!O:P,2,FALSE)</f>
        <v>83</v>
      </c>
    </row>
    <row r="9" spans="1:8" x14ac:dyDescent="0.25">
      <c r="A9">
        <v>8</v>
      </c>
      <c r="B9" t="s">
        <v>146</v>
      </c>
      <c r="C9" t="s">
        <v>124</v>
      </c>
      <c r="G9">
        <f>VLOOKUP(Таблица2[[#This Row],[Id]],'Сводные данные'!O:P,2,FALSE)</f>
        <v>39</v>
      </c>
    </row>
    <row r="10" spans="1:8" x14ac:dyDescent="0.25">
      <c r="A10">
        <v>9</v>
      </c>
      <c r="B10" t="s">
        <v>146</v>
      </c>
      <c r="C10" t="s">
        <v>125</v>
      </c>
      <c r="G10">
        <f>VLOOKUP(Таблица2[[#This Row],[Id]],'Сводные данные'!O:P,2,FALSE)</f>
        <v>35</v>
      </c>
    </row>
    <row r="11" spans="1:8" x14ac:dyDescent="0.25">
      <c r="A11">
        <v>10</v>
      </c>
      <c r="B11" t="s">
        <v>146</v>
      </c>
      <c r="C11" t="s">
        <v>126</v>
      </c>
      <c r="G11">
        <f>VLOOKUP(Таблица2[[#This Row],[Id]],'Сводные данные'!O:P,2,FALSE)</f>
        <v>99</v>
      </c>
    </row>
    <row r="12" spans="1:8" x14ac:dyDescent="0.25">
      <c r="A12">
        <v>11</v>
      </c>
      <c r="B12" t="s">
        <v>146</v>
      </c>
      <c r="C12" t="s">
        <v>127</v>
      </c>
      <c r="G12">
        <f>VLOOKUP(Таблица2[[#This Row],[Id]],'Сводные данные'!O:P,2,FALSE)</f>
        <v>19</v>
      </c>
    </row>
    <row r="13" spans="1:8" x14ac:dyDescent="0.25">
      <c r="A13">
        <v>12</v>
      </c>
      <c r="B13" t="s">
        <v>146</v>
      </c>
      <c r="C13" t="s">
        <v>128</v>
      </c>
      <c r="G13">
        <f>VLOOKUP(Таблица2[[#This Row],[Id]],'Сводные данные'!O:P,2,FALSE)</f>
        <v>29</v>
      </c>
    </row>
    <row r="14" spans="1:8" x14ac:dyDescent="0.25">
      <c r="A14">
        <v>13</v>
      </c>
      <c r="B14" t="s">
        <v>146</v>
      </c>
      <c r="C14" t="s">
        <v>147</v>
      </c>
      <c r="G14">
        <f>VLOOKUP(Таблица2[[#This Row],[Id]],'Сводные данные'!O:P,2,FALSE)</f>
        <v>22</v>
      </c>
    </row>
    <row r="15" spans="1:8" x14ac:dyDescent="0.25">
      <c r="A15">
        <v>14</v>
      </c>
      <c r="B15" t="s">
        <v>146</v>
      </c>
      <c r="C15" t="s">
        <v>148</v>
      </c>
      <c r="G15">
        <f>VLOOKUP(Таблица2[[#This Row],[Id]],'Сводные данные'!O:P,2,FALSE)</f>
        <v>23</v>
      </c>
    </row>
    <row r="16" spans="1:8" x14ac:dyDescent="0.25">
      <c r="A16">
        <v>15</v>
      </c>
      <c r="B16" t="s">
        <v>146</v>
      </c>
      <c r="C16" t="s">
        <v>149</v>
      </c>
      <c r="G16">
        <f>VLOOKUP(Таблица2[[#This Row],[Id]],'Сводные данные'!O:P,2,FALSE)</f>
        <v>89</v>
      </c>
    </row>
    <row r="17" spans="1:7" x14ac:dyDescent="0.25">
      <c r="A17">
        <v>16</v>
      </c>
      <c r="B17" t="s">
        <v>146</v>
      </c>
      <c r="C17" t="s">
        <v>150</v>
      </c>
      <c r="G17">
        <f>VLOOKUP(Таблица2[[#This Row],[Id]],'Сводные данные'!O:P,2,FALSE)</f>
        <v>39</v>
      </c>
    </row>
    <row r="18" spans="1:7" x14ac:dyDescent="0.25">
      <c r="A18">
        <v>17</v>
      </c>
      <c r="B18" t="s">
        <v>146</v>
      </c>
      <c r="C18" t="s">
        <v>151</v>
      </c>
      <c r="G18">
        <f>VLOOKUP(Таблица2[[#This Row],[Id]],'Сводные данные'!O:P,2,FALSE)</f>
        <v>41</v>
      </c>
    </row>
    <row r="19" spans="1:7" x14ac:dyDescent="0.25">
      <c r="A19">
        <v>18</v>
      </c>
      <c r="B19" t="s">
        <v>146</v>
      </c>
      <c r="C19" t="s">
        <v>152</v>
      </c>
      <c r="G19">
        <f>VLOOKUP(Таблица2[[#This Row],[Id]],'Сводные данные'!O:P,2,FALSE)</f>
        <v>80</v>
      </c>
    </row>
    <row r="20" spans="1:7" x14ac:dyDescent="0.25">
      <c r="A20">
        <v>19</v>
      </c>
      <c r="B20" t="s">
        <v>146</v>
      </c>
      <c r="C20" t="s">
        <v>153</v>
      </c>
      <c r="G20">
        <f>VLOOKUP(Таблица2[[#This Row],[Id]],'Сводные данные'!O:P,2,FALSE)</f>
        <v>88</v>
      </c>
    </row>
    <row r="21" spans="1:7" x14ac:dyDescent="0.25">
      <c r="A21">
        <v>20</v>
      </c>
      <c r="B21" t="s">
        <v>146</v>
      </c>
      <c r="C21" t="s">
        <v>154</v>
      </c>
      <c r="G21">
        <f>VLOOKUP(Таблица2[[#This Row],[Id]],'Сводные данные'!O:P,2,FALSE)</f>
        <v>40</v>
      </c>
    </row>
    <row r="22" spans="1:7" x14ac:dyDescent="0.25">
      <c r="A22">
        <v>21</v>
      </c>
      <c r="B22" t="s">
        <v>146</v>
      </c>
      <c r="C22" t="s">
        <v>155</v>
      </c>
      <c r="G22">
        <f>VLOOKUP(Таблица2[[#This Row],[Id]],'Сводные данные'!O:P,2,FALSE)</f>
        <v>50</v>
      </c>
    </row>
    <row r="23" spans="1:7" x14ac:dyDescent="0.25">
      <c r="A23">
        <v>22</v>
      </c>
      <c r="B23" t="s">
        <v>146</v>
      </c>
      <c r="C23" t="s">
        <v>156</v>
      </c>
      <c r="G23">
        <f>VLOOKUP(Таблица2[[#This Row],[Id]],'Сводные данные'!O:P,2,FALSE)</f>
        <v>56</v>
      </c>
    </row>
    <row r="24" spans="1:7" x14ac:dyDescent="0.25">
      <c r="A24">
        <v>23</v>
      </c>
      <c r="B24" t="s">
        <v>146</v>
      </c>
      <c r="C24" t="s">
        <v>157</v>
      </c>
      <c r="G24">
        <f>VLOOKUP(Таблица2[[#This Row],[Id]],'Сводные данные'!O:P,2,FALSE)</f>
        <v>23</v>
      </c>
    </row>
    <row r="25" spans="1:7" x14ac:dyDescent="0.25">
      <c r="A25">
        <v>24</v>
      </c>
      <c r="B25" t="s">
        <v>146</v>
      </c>
      <c r="C25" t="s">
        <v>158</v>
      </c>
      <c r="G25">
        <f>VLOOKUP(Таблица2[[#This Row],[Id]],'Сводные данные'!O:P,2,FALSE)</f>
        <v>32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CC70A-653C-4EC1-9C86-364C7B22ECB6}">
  <sheetPr codeName="Лист11"/>
  <dimension ref="A1:N15"/>
  <sheetViews>
    <sheetView tabSelected="1" workbookViewId="0">
      <selection activeCell="A15" sqref="A15"/>
    </sheetView>
  </sheetViews>
  <sheetFormatPr defaultRowHeight="15" x14ac:dyDescent="0.25"/>
  <cols>
    <col min="1" max="1" width="5" customWidth="1"/>
    <col min="2" max="2" width="5.42578125" customWidth="1"/>
    <col min="3" max="3" width="9.7109375" bestFit="1" customWidth="1"/>
    <col min="4" max="4" width="15.85546875" customWidth="1"/>
    <col min="5" max="5" width="24.28515625" customWidth="1"/>
    <col min="6" max="6" width="22.5703125" customWidth="1"/>
    <col min="7" max="7" width="21.5703125" customWidth="1"/>
    <col min="8" max="8" width="19.85546875" customWidth="1"/>
    <col min="9" max="9" width="21.28515625" customWidth="1"/>
    <col min="10" max="10" width="19.5703125" customWidth="1"/>
    <col min="11" max="11" width="7.7109375" customWidth="1"/>
    <col min="12" max="12" width="9.42578125" customWidth="1"/>
    <col min="13" max="13" width="22.42578125" customWidth="1"/>
    <col min="14" max="14" width="22.7109375" customWidth="1"/>
  </cols>
  <sheetData>
    <row r="1" spans="1:14" x14ac:dyDescent="0.25">
      <c r="A1" t="s">
        <v>0</v>
      </c>
      <c r="B1" t="s">
        <v>15</v>
      </c>
      <c r="C1" t="s">
        <v>107</v>
      </c>
      <c r="D1" t="s">
        <v>134</v>
      </c>
      <c r="E1" t="s">
        <v>163</v>
      </c>
      <c r="F1" t="s">
        <v>164</v>
      </c>
      <c r="G1" t="s">
        <v>165</v>
      </c>
      <c r="H1" t="s">
        <v>166</v>
      </c>
      <c r="I1" t="s">
        <v>167</v>
      </c>
      <c r="J1" t="s">
        <v>168</v>
      </c>
      <c r="K1" t="s">
        <v>169</v>
      </c>
      <c r="L1" t="s">
        <v>136</v>
      </c>
      <c r="M1" t="s">
        <v>132</v>
      </c>
      <c r="N1" t="s">
        <v>170</v>
      </c>
    </row>
    <row r="2" spans="1:14" x14ac:dyDescent="0.25">
      <c r="A2">
        <v>1</v>
      </c>
      <c r="B2">
        <v>1</v>
      </c>
      <c r="C2" t="s">
        <v>171</v>
      </c>
      <c r="K2">
        <v>1</v>
      </c>
    </row>
    <row r="3" spans="1:14" x14ac:dyDescent="0.25">
      <c r="A3">
        <v>2</v>
      </c>
      <c r="B3">
        <v>2</v>
      </c>
      <c r="C3" t="s">
        <v>172</v>
      </c>
      <c r="K3">
        <v>1</v>
      </c>
    </row>
    <row r="4" spans="1:14" x14ac:dyDescent="0.25">
      <c r="A4">
        <v>3</v>
      </c>
      <c r="B4">
        <v>3</v>
      </c>
      <c r="C4" t="s">
        <v>173</v>
      </c>
      <c r="K4">
        <v>1</v>
      </c>
    </row>
    <row r="5" spans="1:14" x14ac:dyDescent="0.25">
      <c r="A5">
        <v>4</v>
      </c>
      <c r="B5">
        <v>2</v>
      </c>
      <c r="C5" t="s">
        <v>174</v>
      </c>
      <c r="K5">
        <v>1</v>
      </c>
    </row>
    <row r="6" spans="1:14" x14ac:dyDescent="0.25">
      <c r="A6">
        <v>5</v>
      </c>
      <c r="B6">
        <v>3</v>
      </c>
      <c r="C6" t="s">
        <v>175</v>
      </c>
      <c r="K6">
        <v>1</v>
      </c>
    </row>
    <row r="7" spans="1:14" x14ac:dyDescent="0.25">
      <c r="A7">
        <v>6</v>
      </c>
      <c r="B7">
        <v>1</v>
      </c>
      <c r="C7" t="s">
        <v>176</v>
      </c>
      <c r="K7">
        <v>1</v>
      </c>
    </row>
    <row r="8" spans="1:14" x14ac:dyDescent="0.25">
      <c r="A8">
        <v>7</v>
      </c>
      <c r="B8">
        <v>2</v>
      </c>
      <c r="C8" t="s">
        <v>177</v>
      </c>
      <c r="K8">
        <v>1</v>
      </c>
    </row>
    <row r="9" spans="1:14" x14ac:dyDescent="0.25">
      <c r="A9">
        <v>8</v>
      </c>
      <c r="B9">
        <v>3</v>
      </c>
      <c r="C9" t="s">
        <v>178</v>
      </c>
      <c r="K9">
        <v>1</v>
      </c>
    </row>
    <row r="10" spans="1:14" x14ac:dyDescent="0.25">
      <c r="A10">
        <v>9</v>
      </c>
      <c r="B10">
        <v>1</v>
      </c>
      <c r="C10" t="s">
        <v>179</v>
      </c>
      <c r="K10">
        <v>1</v>
      </c>
    </row>
    <row r="11" spans="1:14" x14ac:dyDescent="0.25">
      <c r="A11">
        <v>10</v>
      </c>
      <c r="B11">
        <v>4</v>
      </c>
      <c r="C11" t="s">
        <v>180</v>
      </c>
      <c r="K11">
        <v>1</v>
      </c>
    </row>
    <row r="12" spans="1:14" x14ac:dyDescent="0.25">
      <c r="A12">
        <v>11</v>
      </c>
      <c r="B12">
        <v>1</v>
      </c>
      <c r="C12" t="s">
        <v>181</v>
      </c>
      <c r="K12">
        <v>1</v>
      </c>
    </row>
    <row r="13" spans="1:14" x14ac:dyDescent="0.25">
      <c r="A13">
        <v>12</v>
      </c>
      <c r="B13">
        <v>2</v>
      </c>
      <c r="C13" t="s">
        <v>182</v>
      </c>
      <c r="K13">
        <v>1</v>
      </c>
    </row>
    <row r="14" spans="1:14" x14ac:dyDescent="0.25">
      <c r="A14">
        <v>13</v>
      </c>
      <c r="B14">
        <v>4</v>
      </c>
      <c r="C14" t="s">
        <v>183</v>
      </c>
      <c r="K14">
        <v>1</v>
      </c>
    </row>
    <row r="15" spans="1:14" x14ac:dyDescent="0.25">
      <c r="A15">
        <v>14</v>
      </c>
      <c r="B15">
        <v>3</v>
      </c>
      <c r="C15" t="s">
        <v>184</v>
      </c>
      <c r="K15">
        <v>1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5A347D-FAF7-41DD-992C-8174ACFEC415}">
  <sheetPr codeName="Лист12"/>
  <dimension ref="A1:B10"/>
  <sheetViews>
    <sheetView workbookViewId="0">
      <selection activeCell="F4" sqref="F4"/>
    </sheetView>
  </sheetViews>
  <sheetFormatPr defaultRowHeight="15" x14ac:dyDescent="0.25"/>
  <cols>
    <col min="1" max="1" width="5" bestFit="1" customWidth="1"/>
    <col min="2" max="2" width="15.42578125" bestFit="1" customWidth="1"/>
  </cols>
  <sheetData>
    <row r="1" spans="1:2" x14ac:dyDescent="0.25">
      <c r="A1" t="s">
        <v>114</v>
      </c>
      <c r="B1" t="s">
        <v>107</v>
      </c>
    </row>
    <row r="2" spans="1:2" x14ac:dyDescent="0.25">
      <c r="A2">
        <v>1</v>
      </c>
      <c r="B2" t="s">
        <v>185</v>
      </c>
    </row>
    <row r="3" spans="1:2" x14ac:dyDescent="0.25">
      <c r="A3">
        <v>2</v>
      </c>
      <c r="B3" t="s">
        <v>137</v>
      </c>
    </row>
    <row r="4" spans="1:2" x14ac:dyDescent="0.25">
      <c r="A4">
        <v>3</v>
      </c>
      <c r="B4" t="s">
        <v>138</v>
      </c>
    </row>
    <row r="5" spans="1:2" x14ac:dyDescent="0.25">
      <c r="A5">
        <v>4</v>
      </c>
      <c r="B5" t="s">
        <v>186</v>
      </c>
    </row>
    <row r="6" spans="1:2" x14ac:dyDescent="0.25">
      <c r="A6">
        <v>5</v>
      </c>
      <c r="B6" t="s">
        <v>187</v>
      </c>
    </row>
    <row r="7" spans="1:2" x14ac:dyDescent="0.25">
      <c r="A7">
        <v>6</v>
      </c>
      <c r="B7" t="s">
        <v>188</v>
      </c>
    </row>
    <row r="8" spans="1:2" x14ac:dyDescent="0.25">
      <c r="A8">
        <v>7</v>
      </c>
      <c r="B8" t="s">
        <v>189</v>
      </c>
    </row>
    <row r="9" spans="1:2" x14ac:dyDescent="0.25">
      <c r="A9">
        <v>8</v>
      </c>
      <c r="B9" t="s">
        <v>190</v>
      </c>
    </row>
    <row r="10" spans="1:2" x14ac:dyDescent="0.25">
      <c r="A10">
        <v>9</v>
      </c>
      <c r="B10" t="s">
        <v>191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461F6-488A-4085-AE77-49C58A657AAF}">
  <sheetPr codeName="Лист14"/>
  <dimension ref="B1:P30"/>
  <sheetViews>
    <sheetView workbookViewId="0">
      <selection activeCell="O7" sqref="O2:O14"/>
      <pivotSelection pane="bottomRight" showHeader="1" axis="axisRow" activeRow="6" activeCol="14" previousRow="6" previousCol="14" click="1" r:id="rId1">
        <pivotArea dataOnly="0" labelOnly="1" fieldPosition="0">
          <references count="1">
            <reference field="18" count="0"/>
          </references>
        </pivotArea>
      </pivotSelection>
    </sheetView>
  </sheetViews>
  <sheetFormatPr defaultRowHeight="15" x14ac:dyDescent="0.25"/>
  <sheetData>
    <row r="1" spans="2:16" x14ac:dyDescent="0.25">
      <c r="B1" s="5" t="s">
        <v>89</v>
      </c>
      <c r="C1" t="s">
        <v>160</v>
      </c>
      <c r="D1" t="s">
        <v>161</v>
      </c>
      <c r="G1" s="5" t="s">
        <v>89</v>
      </c>
      <c r="H1" t="s">
        <v>90</v>
      </c>
      <c r="I1" t="s">
        <v>91</v>
      </c>
      <c r="K1" s="5" t="s">
        <v>89</v>
      </c>
      <c r="L1" t="s">
        <v>90</v>
      </c>
      <c r="M1" t="s">
        <v>91</v>
      </c>
      <c r="O1" s="5" t="s">
        <v>89</v>
      </c>
      <c r="P1" t="s">
        <v>162</v>
      </c>
    </row>
    <row r="2" spans="2:16" x14ac:dyDescent="0.25">
      <c r="B2" s="6">
        <v>1</v>
      </c>
      <c r="C2" s="4">
        <v>53</v>
      </c>
      <c r="D2" s="4">
        <v>49</v>
      </c>
      <c r="G2" s="6">
        <v>1</v>
      </c>
      <c r="H2" s="4">
        <v>53</v>
      </c>
      <c r="I2" s="4">
        <v>49</v>
      </c>
      <c r="K2" s="6">
        <v>1</v>
      </c>
      <c r="L2" s="4">
        <v>53</v>
      </c>
      <c r="M2" s="4">
        <v>49</v>
      </c>
      <c r="O2" s="6">
        <v>1</v>
      </c>
      <c r="P2" s="4">
        <v>13</v>
      </c>
    </row>
    <row r="3" spans="2:16" x14ac:dyDescent="0.25">
      <c r="B3" s="6">
        <v>3</v>
      </c>
      <c r="C3" s="4">
        <v>50</v>
      </c>
      <c r="D3" s="4">
        <v>45</v>
      </c>
      <c r="G3" s="6">
        <v>3</v>
      </c>
      <c r="H3" s="4">
        <v>50</v>
      </c>
      <c r="I3" s="4">
        <v>45</v>
      </c>
      <c r="K3" s="6">
        <v>3</v>
      </c>
      <c r="L3" s="4">
        <v>50</v>
      </c>
      <c r="M3" s="4">
        <v>45</v>
      </c>
      <c r="O3" s="6">
        <v>2</v>
      </c>
      <c r="P3" s="4">
        <v>21</v>
      </c>
    </row>
    <row r="4" spans="2:16" x14ac:dyDescent="0.25">
      <c r="B4" s="6">
        <v>5</v>
      </c>
      <c r="C4" s="4">
        <v>50</v>
      </c>
      <c r="D4" s="4">
        <v>46</v>
      </c>
      <c r="G4" s="6">
        <v>5</v>
      </c>
      <c r="H4" s="4">
        <v>50</v>
      </c>
      <c r="I4" s="4">
        <v>46</v>
      </c>
      <c r="K4" s="6">
        <v>5</v>
      </c>
      <c r="L4" s="4">
        <v>50</v>
      </c>
      <c r="M4" s="4">
        <v>46</v>
      </c>
      <c r="O4" s="6">
        <v>3</v>
      </c>
      <c r="P4" s="4">
        <v>44</v>
      </c>
    </row>
    <row r="5" spans="2:16" x14ac:dyDescent="0.25">
      <c r="B5" s="6">
        <v>7</v>
      </c>
      <c r="C5" s="4">
        <v>72</v>
      </c>
      <c r="D5" s="4">
        <v>65</v>
      </c>
      <c r="G5" s="6">
        <v>7</v>
      </c>
      <c r="H5" s="4">
        <v>72</v>
      </c>
      <c r="I5" s="4">
        <v>65</v>
      </c>
      <c r="K5" s="6">
        <v>7</v>
      </c>
      <c r="L5" s="4">
        <v>72</v>
      </c>
      <c r="M5" s="4">
        <v>65</v>
      </c>
      <c r="O5" s="6">
        <v>4</v>
      </c>
      <c r="P5" s="4">
        <v>62</v>
      </c>
    </row>
    <row r="6" spans="2:16" x14ac:dyDescent="0.25">
      <c r="B6" s="6">
        <v>9</v>
      </c>
      <c r="C6" s="4">
        <v>102</v>
      </c>
      <c r="D6" s="4">
        <v>92</v>
      </c>
      <c r="G6" s="6">
        <v>9</v>
      </c>
      <c r="H6" s="4">
        <v>102</v>
      </c>
      <c r="I6" s="4">
        <v>92</v>
      </c>
      <c r="K6" s="6">
        <v>9</v>
      </c>
      <c r="L6" s="4">
        <v>102</v>
      </c>
      <c r="M6" s="4">
        <v>92</v>
      </c>
      <c r="O6" s="6">
        <v>5</v>
      </c>
      <c r="P6" s="4">
        <v>54</v>
      </c>
    </row>
    <row r="7" spans="2:16" x14ac:dyDescent="0.25">
      <c r="B7" s="6">
        <v>11</v>
      </c>
      <c r="C7" s="4">
        <v>78</v>
      </c>
      <c r="D7" s="4">
        <v>70</v>
      </c>
      <c r="G7" s="6">
        <v>11</v>
      </c>
      <c r="H7" s="4">
        <v>78</v>
      </c>
      <c r="I7" s="4">
        <v>70</v>
      </c>
      <c r="K7" s="6">
        <v>11</v>
      </c>
      <c r="L7" s="4">
        <v>78</v>
      </c>
      <c r="M7" s="4">
        <v>70</v>
      </c>
      <c r="O7" s="6">
        <v>6</v>
      </c>
      <c r="P7" s="4">
        <v>74</v>
      </c>
    </row>
    <row r="8" spans="2:16" x14ac:dyDescent="0.25">
      <c r="B8" s="6">
        <v>13</v>
      </c>
      <c r="C8" s="4">
        <v>77</v>
      </c>
      <c r="D8" s="4">
        <v>68</v>
      </c>
      <c r="G8" s="6">
        <v>13</v>
      </c>
      <c r="H8" s="4">
        <v>77</v>
      </c>
      <c r="I8" s="4">
        <v>68</v>
      </c>
      <c r="K8" s="6">
        <v>13</v>
      </c>
      <c r="L8" s="4">
        <v>77</v>
      </c>
      <c r="M8" s="4">
        <v>68</v>
      </c>
      <c r="O8" s="6">
        <v>7</v>
      </c>
      <c r="P8" s="4">
        <v>83</v>
      </c>
    </row>
    <row r="9" spans="2:16" x14ac:dyDescent="0.25">
      <c r="B9" s="6">
        <v>15</v>
      </c>
      <c r="C9" s="4">
        <v>90</v>
      </c>
      <c r="D9" s="4">
        <v>83</v>
      </c>
      <c r="G9" s="6">
        <v>15</v>
      </c>
      <c r="H9" s="4">
        <v>90</v>
      </c>
      <c r="I9" s="4">
        <v>83</v>
      </c>
      <c r="K9" s="6">
        <v>15</v>
      </c>
      <c r="L9" s="4">
        <v>90</v>
      </c>
      <c r="M9" s="4">
        <v>83</v>
      </c>
      <c r="O9" s="6">
        <v>8</v>
      </c>
      <c r="P9" s="4">
        <v>39</v>
      </c>
    </row>
    <row r="10" spans="2:16" x14ac:dyDescent="0.25">
      <c r="B10" s="6" t="s">
        <v>87</v>
      </c>
      <c r="C10" s="4"/>
      <c r="D10" s="4"/>
      <c r="G10" s="6" t="s">
        <v>87</v>
      </c>
      <c r="H10" s="4"/>
      <c r="I10" s="4"/>
      <c r="K10" s="6" t="s">
        <v>87</v>
      </c>
      <c r="L10" s="4"/>
      <c r="M10" s="4"/>
      <c r="O10" s="6">
        <v>9</v>
      </c>
      <c r="P10" s="4">
        <v>35</v>
      </c>
    </row>
    <row r="11" spans="2:16" x14ac:dyDescent="0.25">
      <c r="B11" s="6" t="s">
        <v>88</v>
      </c>
      <c r="C11" s="4">
        <v>572</v>
      </c>
      <c r="D11" s="4">
        <v>518</v>
      </c>
      <c r="G11" s="6" t="s">
        <v>88</v>
      </c>
      <c r="H11" s="4">
        <v>572</v>
      </c>
      <c r="I11" s="4">
        <v>518</v>
      </c>
      <c r="K11" s="6" t="s">
        <v>88</v>
      </c>
      <c r="L11" s="4">
        <v>572</v>
      </c>
      <c r="M11" s="4">
        <v>518</v>
      </c>
      <c r="O11" s="6">
        <v>10</v>
      </c>
      <c r="P11" s="4">
        <v>99</v>
      </c>
    </row>
    <row r="12" spans="2:16" x14ac:dyDescent="0.25">
      <c r="O12" s="6">
        <v>11</v>
      </c>
      <c r="P12" s="4">
        <v>19</v>
      </c>
    </row>
    <row r="13" spans="2:16" x14ac:dyDescent="0.25">
      <c r="B13" s="5" t="s">
        <v>89</v>
      </c>
      <c r="C13" t="s">
        <v>160</v>
      </c>
      <c r="D13" t="s">
        <v>161</v>
      </c>
      <c r="O13" s="6">
        <v>12</v>
      </c>
      <c r="P13" s="4">
        <v>29</v>
      </c>
    </row>
    <row r="14" spans="2:16" x14ac:dyDescent="0.25">
      <c r="B14" s="6">
        <v>2</v>
      </c>
      <c r="C14" s="4">
        <v>86</v>
      </c>
      <c r="D14" s="4">
        <v>78</v>
      </c>
      <c r="O14" s="6" t="s">
        <v>87</v>
      </c>
      <c r="P14" s="4"/>
    </row>
    <row r="15" spans="2:16" x14ac:dyDescent="0.25">
      <c r="B15" s="6">
        <v>4</v>
      </c>
      <c r="C15" s="4">
        <v>43</v>
      </c>
      <c r="D15" s="4">
        <v>39</v>
      </c>
      <c r="O15" s="6" t="s">
        <v>88</v>
      </c>
      <c r="P15" s="4">
        <v>572</v>
      </c>
    </row>
    <row r="16" spans="2:16" x14ac:dyDescent="0.25">
      <c r="B16" s="6">
        <v>6</v>
      </c>
      <c r="C16" s="4">
        <v>78</v>
      </c>
      <c r="D16" s="4">
        <v>70</v>
      </c>
    </row>
    <row r="17" spans="2:16" x14ac:dyDescent="0.25">
      <c r="B17" s="6">
        <v>8</v>
      </c>
      <c r="C17" s="4">
        <v>59</v>
      </c>
      <c r="D17" s="4">
        <v>52</v>
      </c>
      <c r="O17" s="5" t="s">
        <v>89</v>
      </c>
      <c r="P17" t="s">
        <v>162</v>
      </c>
    </row>
    <row r="18" spans="2:16" x14ac:dyDescent="0.25">
      <c r="B18" s="6">
        <v>10</v>
      </c>
      <c r="C18" s="4">
        <v>91</v>
      </c>
      <c r="D18" s="4">
        <v>82</v>
      </c>
      <c r="O18" s="6">
        <v>13</v>
      </c>
      <c r="P18" s="4">
        <v>22</v>
      </c>
    </row>
    <row r="19" spans="2:16" x14ac:dyDescent="0.25">
      <c r="B19" s="6">
        <v>12</v>
      </c>
      <c r="C19" s="4">
        <v>68</v>
      </c>
      <c r="D19" s="4">
        <v>61</v>
      </c>
      <c r="O19" s="6">
        <v>14</v>
      </c>
      <c r="P19" s="4">
        <v>23</v>
      </c>
    </row>
    <row r="20" spans="2:16" x14ac:dyDescent="0.25">
      <c r="B20" s="6">
        <v>14</v>
      </c>
      <c r="C20" s="4">
        <v>48</v>
      </c>
      <c r="D20" s="4">
        <v>44</v>
      </c>
      <c r="O20" s="6">
        <v>15</v>
      </c>
      <c r="P20" s="4">
        <v>89</v>
      </c>
    </row>
    <row r="21" spans="2:16" x14ac:dyDescent="0.25">
      <c r="B21" s="6">
        <v>16</v>
      </c>
      <c r="C21" s="4">
        <v>110</v>
      </c>
      <c r="D21" s="4">
        <v>99</v>
      </c>
      <c r="O21" s="6">
        <v>16</v>
      </c>
      <c r="P21" s="4">
        <v>39</v>
      </c>
    </row>
    <row r="22" spans="2:16" x14ac:dyDescent="0.25">
      <c r="B22" s="6" t="s">
        <v>88</v>
      </c>
      <c r="C22" s="4">
        <v>583</v>
      </c>
      <c r="D22" s="4">
        <v>525</v>
      </c>
      <c r="O22" s="6">
        <v>17</v>
      </c>
      <c r="P22" s="4">
        <v>41</v>
      </c>
    </row>
    <row r="23" spans="2:16" x14ac:dyDescent="0.25">
      <c r="O23" s="6">
        <v>18</v>
      </c>
      <c r="P23" s="4">
        <v>80</v>
      </c>
    </row>
    <row r="24" spans="2:16" x14ac:dyDescent="0.25">
      <c r="O24" s="6">
        <v>19</v>
      </c>
      <c r="P24" s="4">
        <v>88</v>
      </c>
    </row>
    <row r="25" spans="2:16" x14ac:dyDescent="0.25">
      <c r="O25" s="6">
        <v>20</v>
      </c>
      <c r="P25" s="4">
        <v>40</v>
      </c>
    </row>
    <row r="26" spans="2:16" x14ac:dyDescent="0.25">
      <c r="O26" s="6">
        <v>21</v>
      </c>
      <c r="P26" s="4">
        <v>50</v>
      </c>
    </row>
    <row r="27" spans="2:16" x14ac:dyDescent="0.25">
      <c r="O27" s="6">
        <v>22</v>
      </c>
      <c r="P27" s="4">
        <v>56</v>
      </c>
    </row>
    <row r="28" spans="2:16" x14ac:dyDescent="0.25">
      <c r="O28" s="6">
        <v>23</v>
      </c>
      <c r="P28" s="4">
        <v>23</v>
      </c>
    </row>
    <row r="29" spans="2:16" x14ac:dyDescent="0.25">
      <c r="O29" s="6">
        <v>24</v>
      </c>
      <c r="P29" s="4">
        <v>32</v>
      </c>
    </row>
    <row r="30" spans="2:16" x14ac:dyDescent="0.25">
      <c r="O30" s="6" t="s">
        <v>88</v>
      </c>
      <c r="P30" s="4">
        <v>583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13</vt:i4>
      </vt:variant>
    </vt:vector>
  </HeadingPairs>
  <TitlesOfParts>
    <vt:vector size="13" baseType="lpstr">
      <vt:lpstr>Пользователи</vt:lpstr>
      <vt:lpstr>Ветки</vt:lpstr>
      <vt:lpstr>Пулл-реквесты</vt:lpstr>
      <vt:lpstr>Коммиты</vt:lpstr>
      <vt:lpstr>Спринты</vt:lpstr>
      <vt:lpstr>СпринтСтатус</vt:lpstr>
      <vt:lpstr>JiraTaskState</vt:lpstr>
      <vt:lpstr>Задачи1</vt:lpstr>
      <vt:lpstr>Задачи2</vt:lpstr>
      <vt:lpstr>Эпики</vt:lpstr>
      <vt:lpstr>Релизы</vt:lpstr>
      <vt:lpstr>РелизСостояние</vt:lpstr>
      <vt:lpstr>Сводные данные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Nikolay</dc:creator>
  <cp:lastModifiedBy>Nikolay</cp:lastModifiedBy>
  <dcterms:created xsi:type="dcterms:W3CDTF">2019-10-24T09:20:05Z</dcterms:created>
  <dcterms:modified xsi:type="dcterms:W3CDTF">2019-10-24T20:38:18Z</dcterms:modified>
</cp:coreProperties>
</file>